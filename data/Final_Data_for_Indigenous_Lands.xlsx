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eodor/Desktop/SPS - Pareto/Data/"/>
    </mc:Choice>
  </mc:AlternateContent>
  <xr:revisionPtr revIDLastSave="0" documentId="13_ncr:1_{13CBEB71-FCB3-A443-8664-ECB5A58B443B}" xr6:coauthVersionLast="47" xr6:coauthVersionMax="47" xr10:uidLastSave="{00000000-0000-0000-0000-000000000000}"/>
  <bookViews>
    <workbookView xWindow="0" yWindow="500" windowWidth="28800" windowHeight="16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0" i="1" l="1"/>
  <c r="B4" i="1"/>
</calcChain>
</file>

<file path=xl/sharedStrings.xml><?xml version="1.0" encoding="utf-8"?>
<sst xmlns="http://schemas.openxmlformats.org/spreadsheetml/2006/main" count="240" uniqueCount="240">
  <si>
    <t>superficie</t>
  </si>
  <si>
    <t>Homologação Média</t>
  </si>
  <si>
    <t>Primeira Homologação</t>
  </si>
  <si>
    <t>SANTA ROSA DO PURUS</t>
  </si>
  <si>
    <t>MANOEL URBANO</t>
  </si>
  <si>
    <t>FEIJÓ</t>
  </si>
  <si>
    <t>JORDÃO</t>
  </si>
  <si>
    <t>TARAUACÁ</t>
  </si>
  <si>
    <t>PORTO WALTER</t>
  </si>
  <si>
    <t>MARECHAL THAUMATURGO</t>
  </si>
  <si>
    <t>SENA MADUREIRA</t>
  </si>
  <si>
    <t>ASSIS BRASIL</t>
  </si>
  <si>
    <t>CRUZEIRO DO SUL</t>
  </si>
  <si>
    <t>MÂNCIO LIMA</t>
  </si>
  <si>
    <t>FONTE BOA</t>
  </si>
  <si>
    <t>LÁBREA</t>
  </si>
  <si>
    <t>PAUINI</t>
  </si>
  <si>
    <t>JAPURÁ</t>
  </si>
  <si>
    <t>SÃO GABRIEL DA CACHOEIRA</t>
  </si>
  <si>
    <t>PARINTINS</t>
  </si>
  <si>
    <t>MAUÉS</t>
  </si>
  <si>
    <t>BARREIRINHA</t>
  </si>
  <si>
    <t>ITAITUBA</t>
  </si>
  <si>
    <t>CAREIRO DA VÁRZEA</t>
  </si>
  <si>
    <t>TAPAUÁ</t>
  </si>
  <si>
    <t>BOCA DO ACRE</t>
  </si>
  <si>
    <t>BORBA</t>
  </si>
  <si>
    <t>MANICORÉ</t>
  </si>
  <si>
    <t>CANUTAMA</t>
  </si>
  <si>
    <t>TEFÉ</t>
  </si>
  <si>
    <t>TONANTINS</t>
  </si>
  <si>
    <t>AMATURÁ</t>
  </si>
  <si>
    <t>SANTO ANTÔNIO DO IÇÁ</t>
  </si>
  <si>
    <t>BENJAMIN CONSTANT</t>
  </si>
  <si>
    <t>ENVIRA</t>
  </si>
  <si>
    <t>COARI</t>
  </si>
  <si>
    <t>AUTAZES</t>
  </si>
  <si>
    <t>MARAÃ</t>
  </si>
  <si>
    <t>ITAMARATI</t>
  </si>
  <si>
    <t>HUMAITÁ</t>
  </si>
  <si>
    <t>JUTAÍ</t>
  </si>
  <si>
    <t>SÃO PAULO DE OLIVENÇA</t>
  </si>
  <si>
    <t>TABATINGA</t>
  </si>
  <si>
    <t>MANAQUIRI</t>
  </si>
  <si>
    <t>MANACAPURU</t>
  </si>
  <si>
    <t>ALVARÃES</t>
  </si>
  <si>
    <t>ANAMÃ</t>
  </si>
  <si>
    <t>ANORI</t>
  </si>
  <si>
    <t>BERURI</t>
  </si>
  <si>
    <t>UARINI</t>
  </si>
  <si>
    <t>BARCELOS</t>
  </si>
  <si>
    <t>SANTA ISABEL DO RIO NEGRO</t>
  </si>
  <si>
    <t>EIRUNEPÉ</t>
  </si>
  <si>
    <t>PORTO VELHO</t>
  </si>
  <si>
    <t>IPIXUNA</t>
  </si>
  <si>
    <t>JURUÁ</t>
  </si>
  <si>
    <t>CAREIRO</t>
  </si>
  <si>
    <t>FARO</t>
  </si>
  <si>
    <t>NHAMUNDÁ</t>
  </si>
  <si>
    <t>ORIXIMINÁ</t>
  </si>
  <si>
    <t>URUCARÁ</t>
  </si>
  <si>
    <t>ITACOATIARA</t>
  </si>
  <si>
    <t>CARAUARI</t>
  </si>
  <si>
    <t>NOVO ARIPUANÃ</t>
  </si>
  <si>
    <t>SÃO JOÃO DA BALIZA</t>
  </si>
  <si>
    <t>CAROEBE</t>
  </si>
  <si>
    <t>ATALAIA DO NORTE</t>
  </si>
  <si>
    <t>ALTO ALEGRE</t>
  </si>
  <si>
    <t>AMAJARI</t>
  </si>
  <si>
    <t>CARACARAÍ</t>
  </si>
  <si>
    <t>IRACEMA</t>
  </si>
  <si>
    <t>MUCAJAÍ</t>
  </si>
  <si>
    <t>OIAPOQUE</t>
  </si>
  <si>
    <t>ALENQUER</t>
  </si>
  <si>
    <t>ALMEIRIM</t>
  </si>
  <si>
    <t>LARANJAL DO JARI</t>
  </si>
  <si>
    <t>ÓBIDOS</t>
  </si>
  <si>
    <t>MAZAGÃO</t>
  </si>
  <si>
    <t>PEDRA BRANCA DO AMAPARI</t>
  </si>
  <si>
    <t>ARAGUANÃ</t>
  </si>
  <si>
    <t>CENTRO DO GUILHERME</t>
  </si>
  <si>
    <t>CENTRO NOVO DO MARANHÃO</t>
  </si>
  <si>
    <t>MARANHÃOZINHO</t>
  </si>
  <si>
    <t>PARAGOMINAS</t>
  </si>
  <si>
    <t>SANTA LUZIA DO PARUÁ</t>
  </si>
  <si>
    <t>ZÉ DOCA</t>
  </si>
  <si>
    <t>AMARANTE DO MARANHÃO</t>
  </si>
  <si>
    <t>ARAME</t>
  </si>
  <si>
    <t>BURITICUPU</t>
  </si>
  <si>
    <t>BOM JESUS DAS SELVAS</t>
  </si>
  <si>
    <t>SANTA LUZIA</t>
  </si>
  <si>
    <t>GRAJAÚ</t>
  </si>
  <si>
    <t>BOM JARDIM</t>
  </si>
  <si>
    <t>GOVERNADOR NEWTON BELLO</t>
  </si>
  <si>
    <t>NOVA OLINDA DO MARANHÃO</t>
  </si>
  <si>
    <t>SÃO JOÃO DO CARÚ</t>
  </si>
  <si>
    <t>BARRA DO CORDA</t>
  </si>
  <si>
    <t>JENIPAPO DOS VIEIRAS</t>
  </si>
  <si>
    <t>ITAIPAVA DO GRAJAÚ</t>
  </si>
  <si>
    <t>FERNANDO FALCÃO</t>
  </si>
  <si>
    <t>MONTES ALTOS</t>
  </si>
  <si>
    <t>LAJEADO NOVO</t>
  </si>
  <si>
    <t>SÍTIO NOVO</t>
  </si>
  <si>
    <t>FORMOSA DA SERRA NEGRA</t>
  </si>
  <si>
    <t>MONÇÃO</t>
  </si>
  <si>
    <t>APIACÁS</t>
  </si>
  <si>
    <t>JUARA</t>
  </si>
  <si>
    <t>ARIPUANÃ</t>
  </si>
  <si>
    <t>COLNIZA</t>
  </si>
  <si>
    <t>ÁGUA BOA</t>
  </si>
  <si>
    <t>JUÍNA</t>
  </si>
  <si>
    <t>BARÃO DE MELGAÇO</t>
  </si>
  <si>
    <t>POCONÉ</t>
  </si>
  <si>
    <t>PARANATINGA</t>
  </si>
  <si>
    <t>PLANALTO DA SERRA</t>
  </si>
  <si>
    <t>NOVA CANAÃ DO NORTE</t>
  </si>
  <si>
    <t>TABAPORÃ</t>
  </si>
  <si>
    <t>GAÚCHA DO NORTE</t>
  </si>
  <si>
    <t>LUCIARA</t>
  </si>
  <si>
    <t>SÃO FÉLIX DO ARAGUAIA</t>
  </si>
  <si>
    <t>PEIXOTO DE AZEVEDO</t>
  </si>
  <si>
    <t>SANTA CRUZ DO XINGU</t>
  </si>
  <si>
    <t>SÃO JOSÉ DO XINGU</t>
  </si>
  <si>
    <t>COMODORO</t>
  </si>
  <si>
    <t>SAPEZAL</t>
  </si>
  <si>
    <t>BRASNORTE</t>
  </si>
  <si>
    <t>COTRIGUAÇU</t>
  </si>
  <si>
    <t>DIAMANTINO</t>
  </si>
  <si>
    <t>TANGARÁ DA SERRA</t>
  </si>
  <si>
    <t>BARRA DO BUGRES</t>
  </si>
  <si>
    <t>POXORÉU</t>
  </si>
  <si>
    <t>CONQUISTA D'OESTE</t>
  </si>
  <si>
    <t>COCALINHO</t>
  </si>
  <si>
    <t>JACAREACANGA</t>
  </si>
  <si>
    <t>CANABRAVA DO NORTE</t>
  </si>
  <si>
    <t>ALTO BOA VISTA</t>
  </si>
  <si>
    <t>BOM JESUS DO ARAGUAIA</t>
  </si>
  <si>
    <t>ALTAMIRA</t>
  </si>
  <si>
    <t>MATUPÁ</t>
  </si>
  <si>
    <t>SÃO FÉLIX DO XINGU</t>
  </si>
  <si>
    <t>BARRA DO GARÇAS</t>
  </si>
  <si>
    <t>GUARANTÃ DO NORTE</t>
  </si>
  <si>
    <t>NOVA XAVANTINA</t>
  </si>
  <si>
    <t>VILHENA</t>
  </si>
  <si>
    <t>FELIZ NATAL</t>
  </si>
  <si>
    <t>QUERÊNCIA</t>
  </si>
  <si>
    <t>CANARANA</t>
  </si>
  <si>
    <t>NOVA UBIRATÃ</t>
  </si>
  <si>
    <t>MARCELÂNDIA</t>
  </si>
  <si>
    <t>NOVA LACERDA</t>
  </si>
  <si>
    <t>VILA BELA DA SANTÍSSIMA TRINDADE</t>
  </si>
  <si>
    <t>RIBEIRÃO CASCALHEIRA</t>
  </si>
  <si>
    <t>RONDOLÂNDIA</t>
  </si>
  <si>
    <t>CAMPO NOVO DO PARECIS</t>
  </si>
  <si>
    <t>NOVA MARINGÁ</t>
  </si>
  <si>
    <t>PONTES E LACERDA</t>
  </si>
  <si>
    <t>PORTO ESPERIDIÃO</t>
  </si>
  <si>
    <t>ESPIGÃO D'OESTE</t>
  </si>
  <si>
    <t>PIMENTA BUENO</t>
  </si>
  <si>
    <t>NOBRES</t>
  </si>
  <si>
    <t>CACOAL</t>
  </si>
  <si>
    <t>RONDONÓPOLIS</t>
  </si>
  <si>
    <t>SANTA TEREZINHA</t>
  </si>
  <si>
    <t>SANTO ANTÔNIO DO LEVERGER</t>
  </si>
  <si>
    <t>SANTO ANTÔNIO DO LESTE</t>
  </si>
  <si>
    <t>CAMPOS DE JÚLIO</t>
  </si>
  <si>
    <t>CONFRESSA</t>
  </si>
  <si>
    <t>PORTO ALEGRE DO NORTE</t>
  </si>
  <si>
    <t>NOVA ESPERANÇA DO PIRIÁ</t>
  </si>
  <si>
    <t>SANTA LUZIA DO PARÁ</t>
  </si>
  <si>
    <t>MOJU</t>
  </si>
  <si>
    <t>BRASIL NOVO</t>
  </si>
  <si>
    <t>MEDICILÂNDIA</t>
  </si>
  <si>
    <t>URUARÁ</t>
  </si>
  <si>
    <t>SENADOR JOSÉ PORFÍRIO</t>
  </si>
  <si>
    <t>CUMARU DO NORTE</t>
  </si>
  <si>
    <t>BELTERRA</t>
  </si>
  <si>
    <t>PLACAS</t>
  </si>
  <si>
    <t>SANTARÉM</t>
  </si>
  <si>
    <t>VITÓRIA DO XINGU</t>
  </si>
  <si>
    <t>SANTA MARIA DAS BARREIRAS</t>
  </si>
  <si>
    <t>BANNACH</t>
  </si>
  <si>
    <t>OURILÂNDIA DO NORTE</t>
  </si>
  <si>
    <t>FLORESTA DO ARAGUAIA</t>
  </si>
  <si>
    <t>PAU D'ARCO</t>
  </si>
  <si>
    <t>REDENÇÃO</t>
  </si>
  <si>
    <t>BOM JESUS DO TOCANTINS</t>
  </si>
  <si>
    <t>ARAGUACEMA</t>
  </si>
  <si>
    <t>RONDON DO PARÁ</t>
  </si>
  <si>
    <t>ITUPIRANGA</t>
  </si>
  <si>
    <t>NOVO REPARTIMENTO</t>
  </si>
  <si>
    <t>MONTE ALEGRE</t>
  </si>
  <si>
    <t>IPIXUNA DO PARÁ</t>
  </si>
  <si>
    <t>TRAIRÃO</t>
  </si>
  <si>
    <t>BREJO GRANDE DO ARAGUAIA</t>
  </si>
  <si>
    <t>MARABÁ</t>
  </si>
  <si>
    <t>SÃO DOMINGOS DO ARAGUAIA</t>
  </si>
  <si>
    <t>SÃO GERALDO DO ARAGUAIA</t>
  </si>
  <si>
    <t>TOMÉ-AÇU</t>
  </si>
  <si>
    <t>ANAPU</t>
  </si>
  <si>
    <t>BAIÃO</t>
  </si>
  <si>
    <t>TUCURUÍ</t>
  </si>
  <si>
    <t>ÁGUA AZUL DO NORTE</t>
  </si>
  <si>
    <t>PARAUAPEBAS</t>
  </si>
  <si>
    <t>GUAJARÁ-MIRIM</t>
  </si>
  <si>
    <t>NOVA MAMORÉ</t>
  </si>
  <si>
    <t>JI-PARANÁ</t>
  </si>
  <si>
    <t>PARECIS</t>
  </si>
  <si>
    <t>ALTA FLORESTA D'OESTE</t>
  </si>
  <si>
    <t>SÃO FRANCISCO DO GUAPORÉ</t>
  </si>
  <si>
    <t>SÃO MIGUEL DO GUAPORÉ</t>
  </si>
  <si>
    <t>ALTO ALEGRE DOS PARECIS</t>
  </si>
  <si>
    <t>CHUPINGUAIA</t>
  </si>
  <si>
    <t>CORUMBIARA</t>
  </si>
  <si>
    <t>PIMENTEIRAS DO OESTE</t>
  </si>
  <si>
    <t>ALVORADA D'OESTE</t>
  </si>
  <si>
    <t>CACAULÂNDIA</t>
  </si>
  <si>
    <t>CAMPO NOVO DE RONDÔNIA</t>
  </si>
  <si>
    <t>COSTA MARQUES</t>
  </si>
  <si>
    <t>GOVERNADOR JORGE TEIXEIRA</t>
  </si>
  <si>
    <t>JARU</t>
  </si>
  <si>
    <t>MIRANTE DA SERRA</t>
  </si>
  <si>
    <t>MONTE NEGRO</t>
  </si>
  <si>
    <t>SERINGUEIRAS</t>
  </si>
  <si>
    <t>BONFIM</t>
  </si>
  <si>
    <t>CANTÁ</t>
  </si>
  <si>
    <t>BOA VISTA</t>
  </si>
  <si>
    <t>RORAINÓPOLIS</t>
  </si>
  <si>
    <t>NORMANDIA</t>
  </si>
  <si>
    <t>PACARAIMA</t>
  </si>
  <si>
    <t>UIRAMUTÃ</t>
  </si>
  <si>
    <t>CACHOEIRINHA</t>
  </si>
  <si>
    <t>MAURILÂNDIA DO TOCANTINS</t>
  </si>
  <si>
    <t>SÃO BENTO DO TOCANTINS</t>
  </si>
  <si>
    <t>TOCANTINÓPOLIS</t>
  </si>
  <si>
    <t>LAGOA DA CONFUSÃO</t>
  </si>
  <si>
    <t>PIUM</t>
  </si>
  <si>
    <t>FORMOSO DO ARAGUAIA</t>
  </si>
  <si>
    <t>SANTA FÉ DO ARAGUAIA</t>
  </si>
  <si>
    <t>Município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</si>
</sst>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8"/>
  <sheetViews>
    <sheetView tabSelected="1" zoomScale="117" workbookViewId="0">
      <selection activeCell="E9" sqref="E9"/>
    </sheetView>
  </sheetViews>
  <sheetFormatPr baseColWidth="10" defaultColWidth="8.83203125" defaultRowHeight="15" x14ac:dyDescent="0.2"/>
  <cols>
    <col min="1" max="1" width="42" customWidth="1"/>
    <col min="2" max="2" width="21.1640625" customWidth="1"/>
    <col min="3" max="3" width="13.5" customWidth="1"/>
    <col min="4" max="4" width="11.6640625" style="3" bestFit="1" customWidth="1"/>
    <col min="9" max="9" width="11.1640625" bestFit="1" customWidth="1"/>
  </cols>
  <sheetData>
    <row r="1" spans="1:5" s="1" customFormat="1" x14ac:dyDescent="0.2">
      <c r="A1" s="1" t="s">
        <v>239</v>
      </c>
      <c r="B1" s="1" t="s">
        <v>1</v>
      </c>
      <c r="C1" s="1" t="s">
        <v>2</v>
      </c>
      <c r="D1" s="2" t="s">
        <v>0</v>
      </c>
    </row>
    <row r="2" spans="1:5" s="1" customFormat="1" x14ac:dyDescent="0.2">
      <c r="A2" t="s">
        <v>3</v>
      </c>
      <c r="B2">
        <v>2004</v>
      </c>
      <c r="C2">
        <v>1996</v>
      </c>
      <c r="D2" s="3">
        <v>212176</v>
      </c>
    </row>
    <row r="3" spans="1:5" x14ac:dyDescent="0.2">
      <c r="A3" t="s">
        <v>4</v>
      </c>
      <c r="B3">
        <v>1996</v>
      </c>
      <c r="C3">
        <v>1996</v>
      </c>
      <c r="D3" s="3">
        <v>120605</v>
      </c>
      <c r="E3" s="1"/>
    </row>
    <row r="4" spans="1:5" x14ac:dyDescent="0.2">
      <c r="A4" t="s">
        <v>5</v>
      </c>
      <c r="B4">
        <f>2000</f>
        <v>2000</v>
      </c>
      <c r="C4">
        <v>2004</v>
      </c>
      <c r="D4" s="3">
        <v>876087.7</v>
      </c>
      <c r="E4" s="1"/>
    </row>
    <row r="5" spans="1:5" x14ac:dyDescent="0.2">
      <c r="A5" t="s">
        <v>6</v>
      </c>
      <c r="B5">
        <v>1999</v>
      </c>
      <c r="C5">
        <v>2004</v>
      </c>
      <c r="D5" s="3">
        <v>303446.40000000002</v>
      </c>
      <c r="E5" s="1"/>
    </row>
    <row r="6" spans="1:5" x14ac:dyDescent="0.2">
      <c r="A6" t="s">
        <v>7</v>
      </c>
      <c r="B6">
        <v>2000</v>
      </c>
      <c r="C6">
        <v>2006</v>
      </c>
      <c r="D6" s="3">
        <v>285208.3</v>
      </c>
      <c r="E6" s="1"/>
    </row>
    <row r="7" spans="1:5" x14ac:dyDescent="0.2">
      <c r="A7" t="s">
        <v>8</v>
      </c>
      <c r="B7">
        <v>2006</v>
      </c>
      <c r="C7">
        <v>2006</v>
      </c>
      <c r="D7" s="3">
        <v>85596</v>
      </c>
      <c r="E7" s="1"/>
    </row>
    <row r="8" spans="1:5" x14ac:dyDescent="0.2">
      <c r="A8" t="s">
        <v>9</v>
      </c>
      <c r="B8">
        <v>2003</v>
      </c>
      <c r="C8">
        <v>1999</v>
      </c>
      <c r="D8" s="3">
        <v>20534.220499999999</v>
      </c>
      <c r="E8" s="1"/>
    </row>
    <row r="9" spans="1:5" x14ac:dyDescent="0.2">
      <c r="A9" t="s">
        <v>10</v>
      </c>
      <c r="B9">
        <v>1995</v>
      </c>
      <c r="C9">
        <v>1991</v>
      </c>
      <c r="D9" s="3">
        <v>168107</v>
      </c>
      <c r="E9" s="1"/>
    </row>
    <row r="10" spans="1:5" x14ac:dyDescent="0.2">
      <c r="A10" t="s">
        <v>11</v>
      </c>
      <c r="B10">
        <v>1995</v>
      </c>
      <c r="C10">
        <v>1991</v>
      </c>
      <c r="D10" s="3">
        <v>235249</v>
      </c>
      <c r="E10" s="1"/>
    </row>
    <row r="11" spans="1:5" x14ac:dyDescent="0.2">
      <c r="A11" t="s">
        <v>12</v>
      </c>
      <c r="B11">
        <v>1996</v>
      </c>
      <c r="C11">
        <v>1993</v>
      </c>
      <c r="D11" s="3">
        <v>58175.26</v>
      </c>
      <c r="E11" s="1"/>
    </row>
    <row r="12" spans="1:5" x14ac:dyDescent="0.2">
      <c r="A12" t="s">
        <v>13</v>
      </c>
      <c r="B12">
        <v>1996</v>
      </c>
      <c r="C12">
        <v>1991</v>
      </c>
      <c r="D12" s="3">
        <v>51762.61</v>
      </c>
      <c r="E12" s="1"/>
    </row>
    <row r="13" spans="1:5" x14ac:dyDescent="0.2">
      <c r="A13" t="s">
        <v>14</v>
      </c>
      <c r="B13">
        <v>2002</v>
      </c>
      <c r="C13">
        <v>1991</v>
      </c>
      <c r="D13" s="3">
        <v>40320.94</v>
      </c>
      <c r="E13" s="1"/>
    </row>
    <row r="14" spans="1:5" x14ac:dyDescent="0.2">
      <c r="A14" t="s">
        <v>15</v>
      </c>
      <c r="B14">
        <v>2003</v>
      </c>
      <c r="C14">
        <v>1991</v>
      </c>
      <c r="D14" s="3">
        <v>1561095</v>
      </c>
      <c r="E14" s="1"/>
    </row>
    <row r="15" spans="1:5" x14ac:dyDescent="0.2">
      <c r="A15" t="s">
        <v>16</v>
      </c>
      <c r="B15">
        <v>1998</v>
      </c>
      <c r="C15">
        <v>1997</v>
      </c>
      <c r="D15" s="3">
        <v>1143730</v>
      </c>
      <c r="E15" s="1"/>
    </row>
    <row r="16" spans="1:5" x14ac:dyDescent="0.2">
      <c r="A16" t="s">
        <v>17</v>
      </c>
      <c r="B16">
        <v>2001</v>
      </c>
      <c r="C16">
        <v>1991</v>
      </c>
      <c r="D16" s="3">
        <v>1726560</v>
      </c>
      <c r="E16" s="1"/>
    </row>
    <row r="17" spans="1:5" x14ac:dyDescent="0.2">
      <c r="A17" t="s">
        <v>18</v>
      </c>
      <c r="B17">
        <v>2001</v>
      </c>
      <c r="C17">
        <v>1992</v>
      </c>
      <c r="D17" s="3">
        <v>10008568.460000001</v>
      </c>
      <c r="E17" s="1"/>
    </row>
    <row r="18" spans="1:5" x14ac:dyDescent="0.2">
      <c r="A18" t="s">
        <v>19</v>
      </c>
      <c r="B18">
        <v>1986</v>
      </c>
      <c r="C18">
        <v>1986</v>
      </c>
      <c r="D18" s="3">
        <v>25864</v>
      </c>
      <c r="E18" s="1"/>
    </row>
    <row r="19" spans="1:5" x14ac:dyDescent="0.2">
      <c r="A19" t="s">
        <v>20</v>
      </c>
      <c r="B19">
        <v>1986</v>
      </c>
      <c r="C19">
        <v>1986</v>
      </c>
      <c r="D19" s="3">
        <v>132060</v>
      </c>
      <c r="E19" s="1"/>
    </row>
    <row r="20" spans="1:5" x14ac:dyDescent="0.2">
      <c r="A20" t="s">
        <v>21</v>
      </c>
      <c r="B20">
        <v>1986</v>
      </c>
      <c r="C20">
        <v>1986</v>
      </c>
      <c r="D20" s="3">
        <v>161958</v>
      </c>
      <c r="E20" s="1"/>
    </row>
    <row r="21" spans="1:5" x14ac:dyDescent="0.2">
      <c r="A21" t="s">
        <v>22</v>
      </c>
      <c r="B21">
        <v>2004</v>
      </c>
      <c r="C21">
        <v>1986</v>
      </c>
      <c r="D21" s="3">
        <v>365297.35</v>
      </c>
      <c r="E21" s="1"/>
    </row>
    <row r="22" spans="1:5" x14ac:dyDescent="0.2">
      <c r="A22" t="s">
        <v>23</v>
      </c>
      <c r="B22">
        <v>2006</v>
      </c>
      <c r="C22">
        <v>1991</v>
      </c>
      <c r="D22" s="3">
        <v>22710.97</v>
      </c>
      <c r="E22" s="1"/>
    </row>
    <row r="23" spans="1:5" x14ac:dyDescent="0.2">
      <c r="A23" t="s">
        <v>24</v>
      </c>
      <c r="B23">
        <v>2003</v>
      </c>
      <c r="C23">
        <v>1991</v>
      </c>
      <c r="D23" s="3">
        <v>1723286.9</v>
      </c>
      <c r="E23" s="1"/>
    </row>
    <row r="24" spans="1:5" x14ac:dyDescent="0.2">
      <c r="A24" t="s">
        <v>25</v>
      </c>
      <c r="B24">
        <v>1993</v>
      </c>
      <c r="C24">
        <v>1991</v>
      </c>
      <c r="D24" s="3">
        <v>208487.27</v>
      </c>
      <c r="E24" s="1"/>
    </row>
    <row r="25" spans="1:5" x14ac:dyDescent="0.2">
      <c r="A25" t="s">
        <v>26</v>
      </c>
      <c r="B25">
        <v>2012</v>
      </c>
      <c r="C25">
        <v>2004</v>
      </c>
      <c r="D25" s="3">
        <v>1636136.11</v>
      </c>
      <c r="E25" s="1"/>
    </row>
    <row r="26" spans="1:5" x14ac:dyDescent="0.2">
      <c r="A26" t="s">
        <v>27</v>
      </c>
      <c r="B26">
        <v>2003</v>
      </c>
      <c r="C26">
        <v>1996</v>
      </c>
      <c r="D26" s="3">
        <v>811608</v>
      </c>
      <c r="E26" s="1"/>
    </row>
    <row r="27" spans="1:5" x14ac:dyDescent="0.2">
      <c r="A27" t="s">
        <v>28</v>
      </c>
      <c r="B27">
        <v>2012</v>
      </c>
      <c r="C27">
        <v>2004</v>
      </c>
      <c r="D27" s="3">
        <v>446677.15</v>
      </c>
      <c r="E27" s="1"/>
    </row>
    <row r="28" spans="1:5" x14ac:dyDescent="0.2">
      <c r="A28" t="s">
        <v>29</v>
      </c>
      <c r="B28">
        <v>2010</v>
      </c>
      <c r="C28">
        <v>2010</v>
      </c>
      <c r="D28" s="3">
        <v>1772.4237000000001</v>
      </c>
      <c r="E28" s="1"/>
    </row>
    <row r="29" spans="1:5" x14ac:dyDescent="0.2">
      <c r="A29" t="s">
        <v>30</v>
      </c>
      <c r="B29">
        <v>2008</v>
      </c>
      <c r="C29">
        <v>1991</v>
      </c>
      <c r="D29" s="3">
        <v>272257.78000000003</v>
      </c>
      <c r="E29" s="1"/>
    </row>
    <row r="30" spans="1:5" x14ac:dyDescent="0.2">
      <c r="A30" t="s">
        <v>31</v>
      </c>
      <c r="B30">
        <v>2002</v>
      </c>
      <c r="C30">
        <v>1995</v>
      </c>
      <c r="D30" s="3">
        <v>203989.89</v>
      </c>
      <c r="E30" s="1"/>
    </row>
    <row r="31" spans="1:5" x14ac:dyDescent="0.2">
      <c r="A31" t="s">
        <v>32</v>
      </c>
      <c r="B31">
        <v>2007</v>
      </c>
      <c r="C31">
        <v>1995</v>
      </c>
      <c r="D31" s="3">
        <v>278457.5</v>
      </c>
      <c r="E31" s="1"/>
    </row>
    <row r="32" spans="1:5" x14ac:dyDescent="0.2">
      <c r="A32" t="s">
        <v>33</v>
      </c>
      <c r="B32">
        <v>2003</v>
      </c>
      <c r="C32">
        <v>1993</v>
      </c>
      <c r="D32" s="3">
        <v>715713.83</v>
      </c>
      <c r="E32" s="1"/>
    </row>
    <row r="33" spans="1:5" x14ac:dyDescent="0.2">
      <c r="A33" t="s">
        <v>34</v>
      </c>
      <c r="B33">
        <v>1996</v>
      </c>
      <c r="C33">
        <v>1991</v>
      </c>
      <c r="D33" s="3">
        <v>75314.3</v>
      </c>
      <c r="E33" s="1"/>
    </row>
    <row r="34" spans="1:5" x14ac:dyDescent="0.2">
      <c r="A34" t="s">
        <v>35</v>
      </c>
      <c r="B34">
        <v>2015</v>
      </c>
      <c r="C34">
        <v>2015</v>
      </c>
      <c r="D34" s="3">
        <v>12455.718800000001</v>
      </c>
      <c r="E34" s="1"/>
    </row>
    <row r="35" spans="1:5" x14ac:dyDescent="0.2">
      <c r="A35" t="s">
        <v>36</v>
      </c>
      <c r="B35">
        <v>2000</v>
      </c>
      <c r="C35">
        <v>1991</v>
      </c>
      <c r="D35" s="3">
        <v>87010.19</v>
      </c>
      <c r="E35" s="1"/>
    </row>
    <row r="36" spans="1:5" x14ac:dyDescent="0.2">
      <c r="A36" t="s">
        <v>37</v>
      </c>
      <c r="B36">
        <v>2000</v>
      </c>
      <c r="C36">
        <v>1998</v>
      </c>
      <c r="D36" s="3">
        <v>69002.3</v>
      </c>
      <c r="E36" s="1"/>
    </row>
    <row r="37" spans="1:5" x14ac:dyDescent="0.2">
      <c r="A37" t="s">
        <v>38</v>
      </c>
      <c r="B37">
        <v>2002</v>
      </c>
      <c r="C37">
        <v>1999</v>
      </c>
      <c r="D37" s="3">
        <v>1534960</v>
      </c>
      <c r="E37" s="1"/>
    </row>
    <row r="38" spans="1:5" x14ac:dyDescent="0.2">
      <c r="A38" t="s">
        <v>39</v>
      </c>
      <c r="B38">
        <v>2002</v>
      </c>
      <c r="C38">
        <v>1996</v>
      </c>
      <c r="D38" s="3">
        <v>1388925.4</v>
      </c>
      <c r="E38" s="1"/>
    </row>
    <row r="39" spans="1:5" x14ac:dyDescent="0.2">
      <c r="A39" t="s">
        <v>40</v>
      </c>
      <c r="B39">
        <v>2002</v>
      </c>
      <c r="C39">
        <v>1991</v>
      </c>
      <c r="D39" s="3">
        <v>1724456.5</v>
      </c>
      <c r="E39" s="1"/>
    </row>
    <row r="40" spans="1:5" x14ac:dyDescent="0.2">
      <c r="A40" t="s">
        <v>41</v>
      </c>
      <c r="B40">
        <v>2006</v>
      </c>
      <c r="C40">
        <v>1996</v>
      </c>
      <c r="D40" s="3">
        <v>947973.72</v>
      </c>
      <c r="E40" s="1"/>
    </row>
    <row r="41" spans="1:5" x14ac:dyDescent="0.2">
      <c r="A41" t="s">
        <v>42</v>
      </c>
      <c r="B41">
        <v>2005</v>
      </c>
      <c r="C41">
        <v>1998</v>
      </c>
      <c r="D41" s="3">
        <v>297575.5</v>
      </c>
      <c r="E41" s="1"/>
    </row>
    <row r="42" spans="1:5" x14ac:dyDescent="0.2">
      <c r="A42" t="s">
        <v>43</v>
      </c>
      <c r="B42">
        <v>2015</v>
      </c>
      <c r="C42">
        <v>2014</v>
      </c>
      <c r="D42" s="3">
        <v>15962.16</v>
      </c>
      <c r="E42" s="1"/>
    </row>
    <row r="43" spans="1:5" x14ac:dyDescent="0.2">
      <c r="A43" t="s">
        <v>44</v>
      </c>
      <c r="B43">
        <v>1998</v>
      </c>
      <c r="C43">
        <v>1991</v>
      </c>
      <c r="D43" s="3">
        <v>5995.4</v>
      </c>
      <c r="E43" s="1"/>
    </row>
    <row r="44" spans="1:5" x14ac:dyDescent="0.2">
      <c r="A44" t="s">
        <v>45</v>
      </c>
      <c r="B44">
        <v>2001</v>
      </c>
      <c r="C44">
        <v>1991</v>
      </c>
      <c r="D44" s="3">
        <v>6825.52</v>
      </c>
      <c r="E44" s="1"/>
    </row>
    <row r="45" spans="1:5" x14ac:dyDescent="0.2">
      <c r="A45" t="s">
        <v>46</v>
      </c>
      <c r="B45">
        <v>1995</v>
      </c>
      <c r="C45">
        <v>1995</v>
      </c>
      <c r="D45" s="3">
        <v>236.78</v>
      </c>
      <c r="E45" s="1"/>
    </row>
    <row r="46" spans="1:5" x14ac:dyDescent="0.2">
      <c r="A46" t="s">
        <v>47</v>
      </c>
      <c r="B46">
        <v>2012</v>
      </c>
      <c r="C46">
        <v>2007</v>
      </c>
      <c r="D46" s="3">
        <v>53925</v>
      </c>
      <c r="E46" s="1"/>
    </row>
    <row r="47" spans="1:5" x14ac:dyDescent="0.2">
      <c r="A47" t="s">
        <v>48</v>
      </c>
      <c r="B47">
        <v>2013</v>
      </c>
      <c r="C47">
        <v>2007</v>
      </c>
      <c r="D47" s="3">
        <v>142981.37</v>
      </c>
      <c r="E47" s="1"/>
    </row>
    <row r="48" spans="1:5" x14ac:dyDescent="0.2">
      <c r="A48" t="s">
        <v>49</v>
      </c>
      <c r="B48">
        <v>1998</v>
      </c>
      <c r="C48">
        <v>1991</v>
      </c>
      <c r="D48" s="3">
        <v>24926.63</v>
      </c>
      <c r="E48" s="1"/>
    </row>
    <row r="49" spans="1:5" x14ac:dyDescent="0.2">
      <c r="A49" t="s">
        <v>50</v>
      </c>
      <c r="B49">
        <v>2005</v>
      </c>
      <c r="C49">
        <v>1992</v>
      </c>
      <c r="D49" s="3">
        <v>2417038</v>
      </c>
      <c r="E49" s="1"/>
    </row>
    <row r="50" spans="1:5" x14ac:dyDescent="0.2">
      <c r="A50" t="s">
        <v>51</v>
      </c>
      <c r="B50">
        <v>2001</v>
      </c>
      <c r="C50">
        <v>1992</v>
      </c>
      <c r="D50" s="3">
        <v>3640187</v>
      </c>
      <c r="E50" s="1"/>
    </row>
    <row r="51" spans="1:5" x14ac:dyDescent="0.2">
      <c r="A51" t="s">
        <v>52</v>
      </c>
      <c r="B51">
        <v>2001</v>
      </c>
      <c r="C51">
        <v>1999</v>
      </c>
      <c r="D51" s="3">
        <v>764328</v>
      </c>
      <c r="E51" s="1"/>
    </row>
    <row r="52" spans="1:5" x14ac:dyDescent="0.2">
      <c r="A52" t="s">
        <v>53</v>
      </c>
      <c r="B52">
        <v>1999</v>
      </c>
      <c r="C52">
        <v>1986</v>
      </c>
      <c r="D52" s="3">
        <v>211944.14</v>
      </c>
      <c r="E52" s="1"/>
    </row>
    <row r="53" spans="1:5" x14ac:dyDescent="0.2">
      <c r="A53" t="s">
        <v>54</v>
      </c>
      <c r="B53">
        <v>2001</v>
      </c>
      <c r="C53">
        <v>2001</v>
      </c>
      <c r="D53" s="3">
        <v>182603</v>
      </c>
      <c r="E53" s="1"/>
    </row>
    <row r="54" spans="1:5" x14ac:dyDescent="0.2">
      <c r="A54" t="s">
        <v>55</v>
      </c>
      <c r="B54">
        <v>2011</v>
      </c>
      <c r="C54">
        <v>2004</v>
      </c>
      <c r="D54" s="3">
        <v>217950.88</v>
      </c>
      <c r="E54" s="1"/>
    </row>
    <row r="55" spans="1:5" x14ac:dyDescent="0.2">
      <c r="A55" t="s">
        <v>56</v>
      </c>
      <c r="B55">
        <v>2011</v>
      </c>
      <c r="C55">
        <v>2004</v>
      </c>
      <c r="D55" s="3">
        <v>13955.14</v>
      </c>
      <c r="E55" s="1"/>
    </row>
    <row r="56" spans="1:5" x14ac:dyDescent="0.2">
      <c r="A56" t="s">
        <v>57</v>
      </c>
      <c r="B56">
        <v>2005</v>
      </c>
      <c r="C56">
        <v>1989</v>
      </c>
      <c r="D56" s="3">
        <v>603909</v>
      </c>
      <c r="E56" s="1"/>
    </row>
    <row r="57" spans="1:5" x14ac:dyDescent="0.2">
      <c r="A57" t="s">
        <v>58</v>
      </c>
      <c r="B57">
        <v>2005</v>
      </c>
      <c r="C57">
        <v>1989</v>
      </c>
      <c r="D57" s="3">
        <v>365725</v>
      </c>
      <c r="E57" s="1"/>
    </row>
    <row r="58" spans="1:5" x14ac:dyDescent="0.2">
      <c r="A58" t="s">
        <v>59</v>
      </c>
      <c r="B58">
        <v>2007</v>
      </c>
      <c r="C58">
        <v>1989</v>
      </c>
      <c r="D58" s="3">
        <v>5433960</v>
      </c>
      <c r="E58" s="1"/>
    </row>
    <row r="59" spans="1:5" x14ac:dyDescent="0.2">
      <c r="A59" t="s">
        <v>60</v>
      </c>
      <c r="B59">
        <v>2005</v>
      </c>
      <c r="C59">
        <v>1989</v>
      </c>
      <c r="D59" s="3">
        <v>1139270</v>
      </c>
      <c r="E59" s="1"/>
    </row>
    <row r="60" spans="1:5" x14ac:dyDescent="0.2">
      <c r="A60" t="s">
        <v>61</v>
      </c>
      <c r="B60">
        <v>2004</v>
      </c>
      <c r="C60">
        <v>2004</v>
      </c>
      <c r="D60" s="3">
        <v>33270.36</v>
      </c>
      <c r="E60" s="1"/>
    </row>
    <row r="61" spans="1:5" x14ac:dyDescent="0.2">
      <c r="A61" t="s">
        <v>62</v>
      </c>
      <c r="B61">
        <v>1997</v>
      </c>
      <c r="C61">
        <v>1997</v>
      </c>
      <c r="D61" s="3">
        <v>710058</v>
      </c>
      <c r="E61" s="1"/>
    </row>
    <row r="62" spans="1:5" x14ac:dyDescent="0.2">
      <c r="A62" t="s">
        <v>63</v>
      </c>
      <c r="B62">
        <v>2011</v>
      </c>
      <c r="C62">
        <v>2004</v>
      </c>
      <c r="D62" s="3">
        <v>136051.15</v>
      </c>
      <c r="E62" s="1"/>
    </row>
    <row r="63" spans="1:5" x14ac:dyDescent="0.2">
      <c r="A63" t="s">
        <v>64</v>
      </c>
      <c r="B63">
        <v>2012</v>
      </c>
      <c r="C63">
        <v>2003</v>
      </c>
      <c r="D63" s="3">
        <v>194838</v>
      </c>
      <c r="E63" s="1"/>
    </row>
    <row r="64" spans="1:5" x14ac:dyDescent="0.2">
      <c r="A64" t="s">
        <v>65</v>
      </c>
      <c r="B64">
        <v>2012</v>
      </c>
      <c r="C64">
        <v>2003</v>
      </c>
      <c r="D64" s="3">
        <v>659557</v>
      </c>
      <c r="E64" s="1"/>
    </row>
    <row r="65" spans="1:5" x14ac:dyDescent="0.2">
      <c r="A65" t="s">
        <v>66</v>
      </c>
      <c r="B65">
        <v>2001</v>
      </c>
      <c r="C65">
        <v>2001</v>
      </c>
      <c r="D65" s="3">
        <v>6539950</v>
      </c>
      <c r="E65" s="1"/>
    </row>
    <row r="66" spans="1:5" x14ac:dyDescent="0.2">
      <c r="A66" t="s">
        <v>67</v>
      </c>
      <c r="B66">
        <v>1987</v>
      </c>
      <c r="C66">
        <v>1949</v>
      </c>
      <c r="D66" s="3">
        <v>1899276.28</v>
      </c>
      <c r="E66" s="1"/>
    </row>
    <row r="67" spans="1:5" x14ac:dyDescent="0.2">
      <c r="A67" t="s">
        <v>68</v>
      </c>
      <c r="B67">
        <v>1987</v>
      </c>
      <c r="C67">
        <v>1982</v>
      </c>
      <c r="D67" s="3">
        <v>1708759.67</v>
      </c>
      <c r="E67" s="1"/>
    </row>
    <row r="68" spans="1:5" x14ac:dyDescent="0.2">
      <c r="A68" t="s">
        <v>69</v>
      </c>
      <c r="B68">
        <v>2000</v>
      </c>
      <c r="C68">
        <v>1992</v>
      </c>
      <c r="D68" s="3">
        <v>773776</v>
      </c>
      <c r="E68" s="1"/>
    </row>
    <row r="69" spans="1:5" x14ac:dyDescent="0.2">
      <c r="A69" t="s">
        <v>70</v>
      </c>
      <c r="B69">
        <v>1992</v>
      </c>
      <c r="C69">
        <v>1992</v>
      </c>
      <c r="D69" s="3">
        <v>1023744</v>
      </c>
      <c r="E69" s="1"/>
    </row>
    <row r="70" spans="1:5" x14ac:dyDescent="0.2">
      <c r="A70" t="s">
        <v>71</v>
      </c>
      <c r="B70">
        <v>1992</v>
      </c>
      <c r="C70">
        <v>1992</v>
      </c>
      <c r="D70" s="3">
        <v>725136</v>
      </c>
      <c r="E70" s="1"/>
    </row>
    <row r="71" spans="1:5" x14ac:dyDescent="0.2">
      <c r="A71" t="s">
        <v>72</v>
      </c>
      <c r="B71">
        <v>1997</v>
      </c>
      <c r="C71">
        <v>1982</v>
      </c>
      <c r="D71" s="3">
        <v>518454.53</v>
      </c>
      <c r="E71" s="1"/>
    </row>
    <row r="72" spans="1:5" x14ac:dyDescent="0.2">
      <c r="A72" t="s">
        <v>73</v>
      </c>
      <c r="B72">
        <v>2000</v>
      </c>
      <c r="C72">
        <v>1997</v>
      </c>
      <c r="D72" s="3">
        <v>259349</v>
      </c>
      <c r="E72" s="1"/>
    </row>
    <row r="73" spans="1:5" x14ac:dyDescent="0.2">
      <c r="A73" t="s">
        <v>74</v>
      </c>
      <c r="B73">
        <v>2000</v>
      </c>
      <c r="C73">
        <v>1997</v>
      </c>
      <c r="D73" s="3">
        <v>2400523</v>
      </c>
      <c r="E73" s="1"/>
    </row>
    <row r="74" spans="1:5" x14ac:dyDescent="0.2">
      <c r="A74" t="s">
        <v>75</v>
      </c>
      <c r="B74">
        <v>1999</v>
      </c>
      <c r="C74">
        <v>1996</v>
      </c>
      <c r="D74" s="3">
        <v>420214</v>
      </c>
      <c r="E74" s="1"/>
    </row>
    <row r="75" spans="1:5" x14ac:dyDescent="0.2">
      <c r="A75" t="s">
        <v>76</v>
      </c>
      <c r="B75">
        <v>2006</v>
      </c>
      <c r="C75">
        <v>2002</v>
      </c>
      <c r="D75" s="3">
        <v>1320284.6299999999</v>
      </c>
      <c r="E75" s="1"/>
    </row>
    <row r="76" spans="1:5" x14ac:dyDescent="0.2">
      <c r="A76" t="s">
        <v>77</v>
      </c>
      <c r="B76">
        <v>1996</v>
      </c>
      <c r="C76">
        <v>1996</v>
      </c>
      <c r="D76" s="3">
        <v>6504</v>
      </c>
      <c r="E76" s="1"/>
    </row>
    <row r="77" spans="1:5" x14ac:dyDescent="0.2">
      <c r="A77" t="s">
        <v>78</v>
      </c>
      <c r="B77">
        <v>1996</v>
      </c>
      <c r="C77">
        <v>1996</v>
      </c>
      <c r="D77" s="3">
        <v>241487</v>
      </c>
      <c r="E77" s="1"/>
    </row>
    <row r="78" spans="1:5" x14ac:dyDescent="0.2">
      <c r="A78" t="s">
        <v>79</v>
      </c>
      <c r="B78">
        <v>2006</v>
      </c>
      <c r="C78">
        <v>2006</v>
      </c>
      <c r="D78" s="3">
        <v>11528</v>
      </c>
      <c r="E78" s="1"/>
    </row>
    <row r="79" spans="1:5" x14ac:dyDescent="0.2">
      <c r="A79" t="s">
        <v>80</v>
      </c>
      <c r="B79">
        <v>2006</v>
      </c>
      <c r="C79">
        <v>2006</v>
      </c>
      <c r="D79" s="3">
        <v>36206</v>
      </c>
      <c r="E79" s="1"/>
    </row>
    <row r="80" spans="1:5" x14ac:dyDescent="0.2">
      <c r="A80" t="s">
        <v>81</v>
      </c>
      <c r="B80">
        <v>2006</v>
      </c>
      <c r="C80">
        <v>2005</v>
      </c>
      <c r="D80" s="3">
        <v>384515</v>
      </c>
      <c r="E80" s="1"/>
    </row>
    <row r="81" spans="1:5" x14ac:dyDescent="0.2">
      <c r="A81" t="s">
        <v>82</v>
      </c>
      <c r="B81">
        <v>2006</v>
      </c>
      <c r="C81">
        <v>2006</v>
      </c>
      <c r="D81" s="3">
        <v>2747</v>
      </c>
      <c r="E81" s="1"/>
    </row>
    <row r="82" spans="1:5" x14ac:dyDescent="0.2">
      <c r="A82" t="s">
        <v>83</v>
      </c>
      <c r="B82">
        <v>2002</v>
      </c>
      <c r="C82">
        <v>1993</v>
      </c>
      <c r="D82" s="3">
        <v>99816.8</v>
      </c>
      <c r="E82" s="1"/>
    </row>
    <row r="83" spans="1:5" x14ac:dyDescent="0.2">
      <c r="A83" t="s">
        <v>84</v>
      </c>
      <c r="B83">
        <v>2006</v>
      </c>
      <c r="C83">
        <v>2006</v>
      </c>
      <c r="D83" s="3">
        <v>814</v>
      </c>
      <c r="E83" s="1"/>
    </row>
    <row r="84" spans="1:5" x14ac:dyDescent="0.2">
      <c r="A84" t="s">
        <v>85</v>
      </c>
      <c r="B84">
        <v>2006</v>
      </c>
      <c r="C84">
        <v>2005</v>
      </c>
      <c r="D84" s="3">
        <v>47595</v>
      </c>
      <c r="E84" s="1"/>
    </row>
    <row r="85" spans="1:5" x14ac:dyDescent="0.2">
      <c r="A85" t="s">
        <v>86</v>
      </c>
      <c r="B85">
        <v>1998</v>
      </c>
      <c r="C85">
        <v>1982</v>
      </c>
      <c r="D85" s="3">
        <v>415237.76</v>
      </c>
      <c r="E85" s="1"/>
    </row>
    <row r="86" spans="1:5" x14ac:dyDescent="0.2">
      <c r="A86" t="s">
        <v>87</v>
      </c>
      <c r="B86">
        <v>2001</v>
      </c>
      <c r="C86">
        <v>1994</v>
      </c>
      <c r="D86" s="3">
        <v>42558</v>
      </c>
      <c r="E86" s="1"/>
    </row>
    <row r="87" spans="1:5" x14ac:dyDescent="0.2">
      <c r="A87" t="s">
        <v>88</v>
      </c>
      <c r="B87">
        <v>2007</v>
      </c>
      <c r="C87">
        <v>2007</v>
      </c>
      <c r="D87" s="3">
        <v>23252</v>
      </c>
      <c r="E87" s="1"/>
    </row>
    <row r="88" spans="1:5" x14ac:dyDescent="0.2">
      <c r="A88" t="s">
        <v>89</v>
      </c>
      <c r="B88">
        <v>2007</v>
      </c>
      <c r="C88">
        <v>2007</v>
      </c>
      <c r="D88" s="3">
        <v>12147</v>
      </c>
      <c r="E88" s="1"/>
    </row>
    <row r="89" spans="1:5" x14ac:dyDescent="0.2">
      <c r="A89" t="s">
        <v>90</v>
      </c>
      <c r="B89">
        <v>2007</v>
      </c>
      <c r="C89">
        <v>2007</v>
      </c>
      <c r="D89" s="3">
        <v>4259</v>
      </c>
      <c r="E89" s="1"/>
    </row>
    <row r="90" spans="1:5" x14ac:dyDescent="0.2">
      <c r="A90" t="s">
        <v>91</v>
      </c>
      <c r="B90">
        <v>1993</v>
      </c>
      <c r="C90">
        <v>1983</v>
      </c>
      <c r="D90" s="3">
        <v>195339.98</v>
      </c>
      <c r="E90" s="1"/>
    </row>
    <row r="91" spans="1:5" x14ac:dyDescent="0.2">
      <c r="A91" t="s">
        <v>92</v>
      </c>
      <c r="B91">
        <v>2008</v>
      </c>
      <c r="C91">
        <v>2005</v>
      </c>
      <c r="D91" s="3">
        <v>187173.38</v>
      </c>
      <c r="E91" s="1"/>
    </row>
    <row r="92" spans="1:5" x14ac:dyDescent="0.2">
      <c r="A92" t="s">
        <v>93</v>
      </c>
      <c r="B92">
        <v>2005</v>
      </c>
      <c r="C92">
        <v>2005</v>
      </c>
      <c r="D92" s="3">
        <v>441</v>
      </c>
      <c r="E92" s="1"/>
    </row>
    <row r="93" spans="1:5" x14ac:dyDescent="0.2">
      <c r="A93" t="s">
        <v>94</v>
      </c>
      <c r="B93">
        <v>2005</v>
      </c>
      <c r="C93">
        <v>2005</v>
      </c>
      <c r="D93" s="3">
        <v>8351</v>
      </c>
      <c r="E93" s="1"/>
    </row>
    <row r="94" spans="1:5" x14ac:dyDescent="0.2">
      <c r="A94" t="s">
        <v>95</v>
      </c>
      <c r="B94">
        <v>2005</v>
      </c>
      <c r="C94">
        <v>2005</v>
      </c>
      <c r="D94" s="3">
        <v>25977</v>
      </c>
      <c r="E94" s="1"/>
    </row>
    <row r="95" spans="1:5" x14ac:dyDescent="0.2">
      <c r="A95" t="s">
        <v>96</v>
      </c>
      <c r="B95">
        <v>1994</v>
      </c>
      <c r="C95">
        <v>1982</v>
      </c>
      <c r="D95" s="3">
        <v>191692.45</v>
      </c>
      <c r="E95" s="1"/>
    </row>
    <row r="96" spans="1:5" x14ac:dyDescent="0.2">
      <c r="A96" t="s">
        <v>97</v>
      </c>
      <c r="B96">
        <v>2001</v>
      </c>
      <c r="C96">
        <v>1991</v>
      </c>
      <c r="D96" s="3">
        <v>82943</v>
      </c>
      <c r="E96" s="1"/>
    </row>
    <row r="97" spans="1:5" x14ac:dyDescent="0.2">
      <c r="A97" t="s">
        <v>98</v>
      </c>
      <c r="B97">
        <v>1992</v>
      </c>
      <c r="C97">
        <v>1991</v>
      </c>
      <c r="D97" s="3">
        <v>19854.04</v>
      </c>
      <c r="E97" s="1"/>
    </row>
    <row r="98" spans="1:5" x14ac:dyDescent="0.2">
      <c r="A98" t="s">
        <v>99</v>
      </c>
      <c r="B98">
        <v>2000</v>
      </c>
      <c r="C98">
        <v>1982</v>
      </c>
      <c r="D98" s="3">
        <v>465889</v>
      </c>
      <c r="E98" s="1"/>
    </row>
    <row r="99" spans="1:5" x14ac:dyDescent="0.2">
      <c r="A99" t="s">
        <v>100</v>
      </c>
      <c r="B99">
        <v>2004</v>
      </c>
      <c r="C99">
        <v>2004</v>
      </c>
      <c r="D99" s="3">
        <v>85103</v>
      </c>
      <c r="E99" s="1"/>
    </row>
    <row r="100" spans="1:5" x14ac:dyDescent="0.2">
      <c r="A100" t="s">
        <v>101</v>
      </c>
      <c r="B100">
        <v>2004</v>
      </c>
      <c r="C100">
        <v>2004</v>
      </c>
      <c r="D100" s="3">
        <v>23888</v>
      </c>
      <c r="E100" s="1"/>
    </row>
    <row r="101" spans="1:5" x14ac:dyDescent="0.2">
      <c r="A101" t="s">
        <v>102</v>
      </c>
      <c r="B101">
        <v>2004</v>
      </c>
      <c r="C101">
        <v>2004</v>
      </c>
      <c r="D101" s="3">
        <v>7043</v>
      </c>
      <c r="E101" s="1"/>
    </row>
    <row r="102" spans="1:5" x14ac:dyDescent="0.2">
      <c r="A102" t="s">
        <v>103</v>
      </c>
      <c r="B102">
        <v>2019</v>
      </c>
      <c r="C102">
        <v>2019</v>
      </c>
      <c r="D102" s="3">
        <v>5411</v>
      </c>
      <c r="E102" s="1"/>
    </row>
    <row r="103" spans="1:5" x14ac:dyDescent="0.2">
      <c r="A103" t="s">
        <v>104</v>
      </c>
      <c r="B103">
        <v>2007</v>
      </c>
      <c r="C103">
        <v>2007</v>
      </c>
      <c r="D103" s="3">
        <v>29</v>
      </c>
      <c r="E103" s="1"/>
    </row>
    <row r="104" spans="1:5" x14ac:dyDescent="0.2">
      <c r="A104" t="s">
        <v>105</v>
      </c>
      <c r="B104">
        <v>2014</v>
      </c>
      <c r="C104">
        <v>2013</v>
      </c>
      <c r="D104" s="3">
        <v>1461021</v>
      </c>
      <c r="E104" s="1"/>
    </row>
    <row r="105" spans="1:5" x14ac:dyDescent="0.2">
      <c r="A105" t="s">
        <v>106</v>
      </c>
      <c r="B105">
        <v>1997</v>
      </c>
      <c r="C105">
        <v>1991</v>
      </c>
      <c r="D105" s="3">
        <v>265918.26</v>
      </c>
      <c r="E105" s="1"/>
    </row>
    <row r="106" spans="1:5" x14ac:dyDescent="0.2">
      <c r="A106" t="s">
        <v>107</v>
      </c>
      <c r="B106">
        <v>1993</v>
      </c>
      <c r="C106">
        <v>1991</v>
      </c>
      <c r="D106" s="3">
        <v>1004943.55</v>
      </c>
      <c r="E106" s="1"/>
    </row>
    <row r="107" spans="1:5" x14ac:dyDescent="0.2">
      <c r="A107" t="s">
        <v>108</v>
      </c>
      <c r="B107">
        <v>2012</v>
      </c>
      <c r="C107">
        <v>1996</v>
      </c>
      <c r="D107" s="3">
        <v>709584</v>
      </c>
      <c r="E107" s="1"/>
    </row>
    <row r="108" spans="1:5" x14ac:dyDescent="0.2">
      <c r="A108" t="s">
        <v>109</v>
      </c>
      <c r="B108">
        <v>2000</v>
      </c>
      <c r="C108">
        <v>2000</v>
      </c>
      <c r="D108" s="3">
        <v>218515</v>
      </c>
      <c r="E108" s="1"/>
    </row>
    <row r="109" spans="1:5" x14ac:dyDescent="0.2">
      <c r="A109" t="s">
        <v>110</v>
      </c>
      <c r="B109">
        <v>1992</v>
      </c>
      <c r="C109">
        <v>1989</v>
      </c>
      <c r="D109" s="3">
        <v>1619205.15</v>
      </c>
      <c r="E109" s="1"/>
    </row>
    <row r="110" spans="1:5" x14ac:dyDescent="0.2">
      <c r="A110" t="s">
        <v>111</v>
      </c>
      <c r="B110">
        <f>2005</f>
        <v>2005</v>
      </c>
      <c r="C110">
        <v>1991</v>
      </c>
      <c r="D110" s="3">
        <v>29847.41</v>
      </c>
      <c r="E110" s="1"/>
    </row>
    <row r="111" spans="1:5" x14ac:dyDescent="0.2">
      <c r="A111" t="s">
        <v>112</v>
      </c>
      <c r="B111">
        <v>2018</v>
      </c>
      <c r="C111">
        <v>2018</v>
      </c>
      <c r="D111" s="3">
        <v>167</v>
      </c>
      <c r="E111" s="1"/>
    </row>
    <row r="112" spans="1:5" x14ac:dyDescent="0.2">
      <c r="A112" t="s">
        <v>113</v>
      </c>
      <c r="B112">
        <v>1993</v>
      </c>
      <c r="C112">
        <v>1991</v>
      </c>
      <c r="D112" s="3">
        <v>406218</v>
      </c>
      <c r="E112" s="1"/>
    </row>
    <row r="113" spans="1:5" x14ac:dyDescent="0.2">
      <c r="A113" t="s">
        <v>114</v>
      </c>
      <c r="B113">
        <v>1991</v>
      </c>
      <c r="C113">
        <v>1991</v>
      </c>
      <c r="D113" s="3">
        <v>1903</v>
      </c>
      <c r="E113" s="1"/>
    </row>
    <row r="114" spans="1:5" x14ac:dyDescent="0.2">
      <c r="A114" t="s">
        <v>115</v>
      </c>
      <c r="B114">
        <v>2008</v>
      </c>
      <c r="C114">
        <v>2008</v>
      </c>
      <c r="D114" s="3">
        <v>2508</v>
      </c>
      <c r="E114" s="1"/>
    </row>
    <row r="115" spans="1:5" x14ac:dyDescent="0.2">
      <c r="A115" t="s">
        <v>116</v>
      </c>
      <c r="B115">
        <v>2008</v>
      </c>
      <c r="C115">
        <v>2008</v>
      </c>
      <c r="D115" s="3">
        <v>111500</v>
      </c>
      <c r="E115" s="1"/>
    </row>
    <row r="116" spans="1:5" x14ac:dyDescent="0.2">
      <c r="A116" t="s">
        <v>117</v>
      </c>
      <c r="B116">
        <v>2002</v>
      </c>
      <c r="C116">
        <v>1991</v>
      </c>
      <c r="D116" s="3">
        <v>832661.98</v>
      </c>
      <c r="E116" s="1"/>
    </row>
    <row r="117" spans="1:5" x14ac:dyDescent="0.2">
      <c r="A117" t="s">
        <v>118</v>
      </c>
      <c r="B117">
        <v>2000</v>
      </c>
      <c r="C117">
        <v>1983</v>
      </c>
      <c r="D117" s="3">
        <v>34557</v>
      </c>
      <c r="E117" s="1"/>
    </row>
    <row r="118" spans="1:5" x14ac:dyDescent="0.2">
      <c r="A118" t="s">
        <v>119</v>
      </c>
      <c r="B118">
        <v>1998</v>
      </c>
      <c r="C118">
        <v>1991</v>
      </c>
      <c r="D118" s="3">
        <v>276057</v>
      </c>
      <c r="E118" s="1"/>
    </row>
    <row r="119" spans="1:5" x14ac:dyDescent="0.2">
      <c r="A119" t="s">
        <v>120</v>
      </c>
      <c r="B119">
        <v>1992</v>
      </c>
      <c r="C119">
        <v>1991</v>
      </c>
      <c r="D119" s="3">
        <v>624451</v>
      </c>
      <c r="E119" s="1"/>
    </row>
    <row r="120" spans="1:5" x14ac:dyDescent="0.2">
      <c r="A120" t="s">
        <v>121</v>
      </c>
      <c r="B120">
        <v>1991</v>
      </c>
      <c r="C120">
        <v>1991</v>
      </c>
      <c r="D120" s="3">
        <v>58732</v>
      </c>
      <c r="E120" s="1"/>
    </row>
    <row r="121" spans="1:5" x14ac:dyDescent="0.2">
      <c r="A121" t="s">
        <v>122</v>
      </c>
      <c r="B121">
        <v>1991</v>
      </c>
      <c r="C121">
        <v>1991</v>
      </c>
      <c r="D121" s="3">
        <v>85264</v>
      </c>
      <c r="E121" s="1"/>
    </row>
    <row r="122" spans="1:5" x14ac:dyDescent="0.2">
      <c r="A122" t="s">
        <v>123</v>
      </c>
      <c r="B122">
        <v>1995</v>
      </c>
      <c r="C122">
        <v>1984</v>
      </c>
      <c r="D122" s="3">
        <v>1368506.81</v>
      </c>
      <c r="E122" s="1"/>
    </row>
    <row r="123" spans="1:5" x14ac:dyDescent="0.2">
      <c r="A123" t="s">
        <v>124</v>
      </c>
      <c r="B123">
        <v>1993</v>
      </c>
      <c r="C123">
        <v>1991</v>
      </c>
      <c r="D123" s="3">
        <v>483781.2</v>
      </c>
      <c r="E123" s="1"/>
    </row>
    <row r="124" spans="1:5" x14ac:dyDescent="0.2">
      <c r="A124" t="s">
        <v>125</v>
      </c>
      <c r="B124">
        <v>1995</v>
      </c>
      <c r="C124">
        <v>1987</v>
      </c>
      <c r="D124" s="3">
        <v>522428.58</v>
      </c>
      <c r="E124" s="1"/>
    </row>
    <row r="125" spans="1:5" x14ac:dyDescent="0.2">
      <c r="A125" t="s">
        <v>126</v>
      </c>
      <c r="B125">
        <v>1998</v>
      </c>
      <c r="C125">
        <v>1998</v>
      </c>
      <c r="D125" s="3">
        <v>168938.46799999999</v>
      </c>
      <c r="E125" s="1"/>
    </row>
    <row r="126" spans="1:5" x14ac:dyDescent="0.2">
      <c r="A126" t="s">
        <v>127</v>
      </c>
      <c r="B126">
        <v>2016</v>
      </c>
      <c r="C126">
        <v>2014</v>
      </c>
      <c r="D126" s="3">
        <v>2733</v>
      </c>
      <c r="E126" s="1"/>
    </row>
    <row r="127" spans="1:5" x14ac:dyDescent="0.2">
      <c r="A127" t="s">
        <v>128</v>
      </c>
      <c r="B127">
        <v>1993</v>
      </c>
      <c r="C127">
        <v>1991</v>
      </c>
      <c r="D127" s="3">
        <v>591081.94999999995</v>
      </c>
      <c r="E127" s="1"/>
    </row>
    <row r="128" spans="1:5" x14ac:dyDescent="0.2">
      <c r="A128" t="s">
        <v>129</v>
      </c>
      <c r="B128">
        <v>1992</v>
      </c>
      <c r="C128">
        <v>1989</v>
      </c>
      <c r="D128" s="3">
        <v>32280</v>
      </c>
      <c r="E128" s="1"/>
    </row>
    <row r="129" spans="1:5" x14ac:dyDescent="0.2">
      <c r="A129" t="s">
        <v>130</v>
      </c>
      <c r="B129">
        <v>2001</v>
      </c>
      <c r="C129">
        <v>1991</v>
      </c>
      <c r="D129" s="3">
        <v>55574</v>
      </c>
      <c r="E129" s="1"/>
    </row>
    <row r="130" spans="1:5" x14ac:dyDescent="0.2">
      <c r="A130" t="s">
        <v>131</v>
      </c>
      <c r="B130">
        <v>1989</v>
      </c>
      <c r="C130">
        <v>1985</v>
      </c>
      <c r="D130" s="3">
        <v>125965.52</v>
      </c>
      <c r="E130" s="1"/>
    </row>
    <row r="131" spans="1:5" x14ac:dyDescent="0.2">
      <c r="A131" t="s">
        <v>132</v>
      </c>
      <c r="B131">
        <v>2007</v>
      </c>
      <c r="C131">
        <v>1998</v>
      </c>
      <c r="D131" s="3">
        <v>146774.26999999999</v>
      </c>
      <c r="E131" s="1"/>
    </row>
    <row r="132" spans="1:5" x14ac:dyDescent="0.2">
      <c r="A132" t="s">
        <v>133</v>
      </c>
      <c r="B132">
        <v>2003</v>
      </c>
      <c r="C132">
        <v>1991</v>
      </c>
      <c r="D132" s="3">
        <v>3087280.86</v>
      </c>
      <c r="E132" s="1"/>
    </row>
    <row r="133" spans="1:5" x14ac:dyDescent="0.2">
      <c r="A133" t="s">
        <v>134</v>
      </c>
      <c r="B133">
        <v>2014</v>
      </c>
      <c r="C133">
        <v>2014</v>
      </c>
      <c r="D133" s="3">
        <v>5468</v>
      </c>
      <c r="E133" s="1"/>
    </row>
    <row r="134" spans="1:5" x14ac:dyDescent="0.2">
      <c r="A134" t="s">
        <v>135</v>
      </c>
      <c r="B134">
        <v>1998</v>
      </c>
      <c r="C134">
        <v>1998</v>
      </c>
      <c r="D134" s="3">
        <v>116427</v>
      </c>
      <c r="E134" s="1"/>
    </row>
    <row r="135" spans="1:5" x14ac:dyDescent="0.2">
      <c r="A135" t="s">
        <v>136</v>
      </c>
      <c r="B135">
        <v>1998</v>
      </c>
      <c r="C135">
        <v>1998</v>
      </c>
      <c r="D135" s="3">
        <v>9623</v>
      </c>
      <c r="E135" s="1"/>
    </row>
    <row r="136" spans="1:5" x14ac:dyDescent="0.2">
      <c r="A136" t="s">
        <v>137</v>
      </c>
      <c r="B136">
        <v>2005</v>
      </c>
      <c r="C136">
        <v>1991</v>
      </c>
      <c r="D136" s="3">
        <v>7727694.9699999997</v>
      </c>
      <c r="E136" s="1"/>
    </row>
    <row r="137" spans="1:5" x14ac:dyDescent="0.2">
      <c r="A137" t="s">
        <v>138</v>
      </c>
      <c r="B137">
        <v>2002</v>
      </c>
      <c r="C137">
        <v>1993</v>
      </c>
      <c r="D137" s="3">
        <v>105849.81</v>
      </c>
      <c r="E137" s="1"/>
    </row>
    <row r="138" spans="1:5" x14ac:dyDescent="0.2">
      <c r="A138" t="s">
        <v>139</v>
      </c>
      <c r="B138">
        <v>1998</v>
      </c>
      <c r="C138">
        <v>1991</v>
      </c>
      <c r="D138" s="3">
        <v>4508807</v>
      </c>
      <c r="E138" s="1"/>
    </row>
    <row r="139" spans="1:5" x14ac:dyDescent="0.2">
      <c r="A139" t="s">
        <v>140</v>
      </c>
      <c r="B139">
        <v>1989</v>
      </c>
      <c r="C139">
        <v>1987</v>
      </c>
      <c r="D139" s="3">
        <v>221964.26</v>
      </c>
      <c r="E139" s="1"/>
    </row>
    <row r="140" spans="1:5" x14ac:dyDescent="0.2">
      <c r="A140" t="s">
        <v>141</v>
      </c>
      <c r="B140">
        <v>2008</v>
      </c>
      <c r="C140">
        <v>2008</v>
      </c>
      <c r="D140" s="3">
        <v>61220</v>
      </c>
      <c r="E140" s="1"/>
    </row>
    <row r="141" spans="1:5" x14ac:dyDescent="0.2">
      <c r="A141" t="s">
        <v>142</v>
      </c>
      <c r="B141">
        <v>1991</v>
      </c>
      <c r="C141">
        <v>1991</v>
      </c>
      <c r="D141" s="3">
        <v>3458</v>
      </c>
      <c r="E141" s="1"/>
    </row>
    <row r="142" spans="1:5" x14ac:dyDescent="0.2">
      <c r="A142" t="s">
        <v>143</v>
      </c>
      <c r="B142">
        <v>1989</v>
      </c>
      <c r="C142">
        <v>1989</v>
      </c>
      <c r="D142" s="3">
        <v>668654</v>
      </c>
      <c r="E142" s="1"/>
    </row>
    <row r="143" spans="1:5" x14ac:dyDescent="0.2">
      <c r="A143" t="s">
        <v>144</v>
      </c>
      <c r="B143">
        <v>1991</v>
      </c>
      <c r="C143">
        <v>1991</v>
      </c>
      <c r="D143" s="3">
        <v>525273</v>
      </c>
      <c r="E143" s="1"/>
    </row>
    <row r="144" spans="1:5" x14ac:dyDescent="0.2">
      <c r="A144" t="s">
        <v>145</v>
      </c>
      <c r="B144">
        <v>1995</v>
      </c>
      <c r="C144">
        <v>1991</v>
      </c>
      <c r="D144" s="3">
        <v>729755.19</v>
      </c>
      <c r="E144" s="1"/>
    </row>
    <row r="145" spans="1:5" x14ac:dyDescent="0.2">
      <c r="A145" t="s">
        <v>146</v>
      </c>
      <c r="B145">
        <v>1998</v>
      </c>
      <c r="C145">
        <v>1986</v>
      </c>
      <c r="D145" s="3">
        <v>232074</v>
      </c>
      <c r="E145" s="1"/>
    </row>
    <row r="146" spans="1:5" x14ac:dyDescent="0.2">
      <c r="A146" t="s">
        <v>147</v>
      </c>
      <c r="B146">
        <v>1991</v>
      </c>
      <c r="C146">
        <v>1991</v>
      </c>
      <c r="D146" s="3">
        <v>30274</v>
      </c>
      <c r="E146" s="1"/>
    </row>
    <row r="147" spans="1:5" x14ac:dyDescent="0.2">
      <c r="A147" t="s">
        <v>148</v>
      </c>
      <c r="B147">
        <v>1991</v>
      </c>
      <c r="C147">
        <v>1991</v>
      </c>
      <c r="D147" s="3">
        <v>143874</v>
      </c>
      <c r="E147" s="1"/>
    </row>
    <row r="148" spans="1:5" x14ac:dyDescent="0.2">
      <c r="A148" t="s">
        <v>149</v>
      </c>
      <c r="B148">
        <v>2002</v>
      </c>
      <c r="C148">
        <v>1989</v>
      </c>
      <c r="D148" s="3">
        <v>78806.16</v>
      </c>
      <c r="E148" s="1"/>
    </row>
    <row r="149" spans="1:5" x14ac:dyDescent="0.2">
      <c r="A149" t="s">
        <v>150</v>
      </c>
      <c r="B149">
        <v>2008</v>
      </c>
      <c r="C149">
        <v>1985</v>
      </c>
      <c r="D149" s="3">
        <v>20997</v>
      </c>
      <c r="E149" s="1"/>
    </row>
    <row r="150" spans="1:5" x14ac:dyDescent="0.2">
      <c r="A150" t="s">
        <v>151</v>
      </c>
      <c r="B150">
        <v>1986</v>
      </c>
      <c r="C150">
        <v>1986</v>
      </c>
      <c r="D150" s="3">
        <v>167899</v>
      </c>
      <c r="E150" s="1"/>
    </row>
    <row r="151" spans="1:5" x14ac:dyDescent="0.2">
      <c r="A151" t="s">
        <v>152</v>
      </c>
      <c r="B151">
        <v>1998</v>
      </c>
      <c r="C151">
        <v>1983</v>
      </c>
      <c r="D151" s="3">
        <v>259065</v>
      </c>
      <c r="E151" s="1"/>
    </row>
    <row r="152" spans="1:5" x14ac:dyDescent="0.2">
      <c r="A152" t="s">
        <v>153</v>
      </c>
      <c r="B152">
        <v>2003</v>
      </c>
      <c r="C152">
        <v>1991</v>
      </c>
      <c r="D152" s="3">
        <v>277648</v>
      </c>
      <c r="E152" s="1"/>
    </row>
    <row r="153" spans="1:5" x14ac:dyDescent="0.2">
      <c r="A153" t="s">
        <v>154</v>
      </c>
      <c r="B153">
        <v>2014</v>
      </c>
      <c r="C153">
        <v>2014</v>
      </c>
      <c r="D153" s="3">
        <v>13266</v>
      </c>
      <c r="E153" s="1"/>
    </row>
    <row r="154" spans="1:5" x14ac:dyDescent="0.2">
      <c r="A154" t="s">
        <v>155</v>
      </c>
      <c r="B154">
        <v>2021</v>
      </c>
      <c r="C154">
        <v>2021</v>
      </c>
      <c r="D154" s="3">
        <v>12570</v>
      </c>
      <c r="E154" s="1"/>
    </row>
    <row r="155" spans="1:5" x14ac:dyDescent="0.2">
      <c r="A155" t="s">
        <v>156</v>
      </c>
      <c r="B155">
        <v>2021</v>
      </c>
      <c r="C155">
        <v>2021</v>
      </c>
      <c r="D155" s="3">
        <v>23016</v>
      </c>
      <c r="E155" s="1"/>
    </row>
    <row r="156" spans="1:5" x14ac:dyDescent="0.2">
      <c r="A156" t="s">
        <v>157</v>
      </c>
      <c r="B156">
        <v>1987</v>
      </c>
      <c r="C156">
        <v>1983</v>
      </c>
      <c r="D156" s="3">
        <v>120892</v>
      </c>
      <c r="E156" s="1"/>
    </row>
    <row r="157" spans="1:5" x14ac:dyDescent="0.2">
      <c r="A157" t="s">
        <v>158</v>
      </c>
      <c r="B157">
        <v>1991</v>
      </c>
      <c r="C157">
        <v>1991</v>
      </c>
      <c r="D157" s="3">
        <v>5853</v>
      </c>
      <c r="E157" s="1"/>
    </row>
    <row r="158" spans="1:5" x14ac:dyDescent="0.2">
      <c r="A158" t="s">
        <v>159</v>
      </c>
      <c r="B158">
        <v>1989</v>
      </c>
      <c r="C158">
        <v>1989</v>
      </c>
      <c r="D158" s="3">
        <v>35470.754300000001</v>
      </c>
      <c r="E158" s="1"/>
    </row>
    <row r="159" spans="1:5" x14ac:dyDescent="0.2">
      <c r="A159" t="s">
        <v>160</v>
      </c>
      <c r="B159">
        <v>1983</v>
      </c>
      <c r="C159">
        <v>1983</v>
      </c>
      <c r="D159" s="3">
        <v>97773</v>
      </c>
      <c r="E159" s="1"/>
    </row>
    <row r="160" spans="1:5" x14ac:dyDescent="0.2">
      <c r="A160" t="s">
        <v>161</v>
      </c>
      <c r="B160">
        <v>1991</v>
      </c>
      <c r="C160">
        <v>1991</v>
      </c>
      <c r="D160" s="3">
        <v>9785</v>
      </c>
      <c r="E160" s="1"/>
    </row>
    <row r="161" spans="1:5" x14ac:dyDescent="0.2">
      <c r="A161" t="s">
        <v>162</v>
      </c>
      <c r="B161">
        <v>1991</v>
      </c>
      <c r="C161">
        <v>1983</v>
      </c>
      <c r="D161" s="3">
        <v>119620</v>
      </c>
      <c r="E161" s="1"/>
    </row>
    <row r="162" spans="1:5" x14ac:dyDescent="0.2">
      <c r="A162" t="s">
        <v>163</v>
      </c>
      <c r="B162">
        <v>2013</v>
      </c>
      <c r="C162">
        <v>2013</v>
      </c>
      <c r="D162" s="3">
        <v>30060</v>
      </c>
      <c r="E162" s="1"/>
    </row>
    <row r="163" spans="1:5" x14ac:dyDescent="0.2">
      <c r="A163" t="s">
        <v>164</v>
      </c>
      <c r="B163">
        <v>2000</v>
      </c>
      <c r="C163">
        <v>2000</v>
      </c>
      <c r="D163" s="3">
        <v>52234.477299999999</v>
      </c>
      <c r="E163" s="1"/>
    </row>
    <row r="164" spans="1:5" x14ac:dyDescent="0.2">
      <c r="A164" t="s">
        <v>165</v>
      </c>
      <c r="B164">
        <v>2011</v>
      </c>
      <c r="C164">
        <v>2011</v>
      </c>
      <c r="D164" s="3">
        <v>19970</v>
      </c>
      <c r="E164" s="1"/>
    </row>
    <row r="165" spans="1:5" x14ac:dyDescent="0.2">
      <c r="A165" t="s">
        <v>166</v>
      </c>
      <c r="B165">
        <v>1998</v>
      </c>
      <c r="C165">
        <v>1998</v>
      </c>
      <c r="D165" s="3">
        <v>22449</v>
      </c>
      <c r="E165" s="1"/>
    </row>
    <row r="166" spans="1:5" x14ac:dyDescent="0.2">
      <c r="A166" t="s">
        <v>167</v>
      </c>
      <c r="B166">
        <v>1998</v>
      </c>
      <c r="C166">
        <v>1998</v>
      </c>
      <c r="D166" s="3">
        <v>67862</v>
      </c>
      <c r="E166" s="1"/>
    </row>
    <row r="167" spans="1:5" x14ac:dyDescent="0.2">
      <c r="A167" t="s">
        <v>168</v>
      </c>
      <c r="B167">
        <v>1993</v>
      </c>
      <c r="C167">
        <v>1993</v>
      </c>
      <c r="D167" s="3">
        <v>150638</v>
      </c>
      <c r="E167" s="1"/>
    </row>
    <row r="168" spans="1:5" x14ac:dyDescent="0.2">
      <c r="A168" t="s">
        <v>169</v>
      </c>
      <c r="B168">
        <v>1993</v>
      </c>
      <c r="C168">
        <v>1993</v>
      </c>
      <c r="D168" s="3">
        <v>38353</v>
      </c>
      <c r="E168" s="1"/>
    </row>
    <row r="169" spans="1:5" x14ac:dyDescent="0.2">
      <c r="A169" t="s">
        <v>170</v>
      </c>
      <c r="B169">
        <v>1991</v>
      </c>
      <c r="C169">
        <v>1991</v>
      </c>
      <c r="D169" s="3">
        <v>7882.8329000000003</v>
      </c>
      <c r="E169" s="1"/>
    </row>
    <row r="170" spans="1:5" x14ac:dyDescent="0.2">
      <c r="A170" t="s">
        <v>171</v>
      </c>
      <c r="B170">
        <v>1991</v>
      </c>
      <c r="C170">
        <v>1991</v>
      </c>
      <c r="D170" s="3">
        <v>156358</v>
      </c>
      <c r="E170" s="1"/>
    </row>
    <row r="171" spans="1:5" x14ac:dyDescent="0.2">
      <c r="A171" t="s">
        <v>172</v>
      </c>
      <c r="B171">
        <v>1991</v>
      </c>
      <c r="C171">
        <v>1991</v>
      </c>
      <c r="D171" s="3">
        <v>30237</v>
      </c>
      <c r="E171" s="1"/>
    </row>
    <row r="172" spans="1:5" x14ac:dyDescent="0.2">
      <c r="A172" t="s">
        <v>173</v>
      </c>
      <c r="B172">
        <v>2004</v>
      </c>
      <c r="C172">
        <v>1991</v>
      </c>
      <c r="D172" s="3">
        <v>93450</v>
      </c>
      <c r="E172" s="1"/>
    </row>
    <row r="173" spans="1:5" x14ac:dyDescent="0.2">
      <c r="A173" t="s">
        <v>174</v>
      </c>
      <c r="B173">
        <v>2005</v>
      </c>
      <c r="C173">
        <v>1996</v>
      </c>
      <c r="D173" s="3">
        <v>1017197.59</v>
      </c>
      <c r="E173" s="1"/>
    </row>
    <row r="174" spans="1:5" x14ac:dyDescent="0.2">
      <c r="A174" t="s">
        <v>175</v>
      </c>
      <c r="B174">
        <v>1997</v>
      </c>
      <c r="C174">
        <v>1991</v>
      </c>
      <c r="D174" s="3">
        <v>407848</v>
      </c>
      <c r="E174" s="1"/>
    </row>
    <row r="175" spans="1:5" x14ac:dyDescent="0.2">
      <c r="A175" t="s">
        <v>176</v>
      </c>
      <c r="B175">
        <v>2017</v>
      </c>
      <c r="C175">
        <v>2016</v>
      </c>
      <c r="D175" s="3">
        <v>38838</v>
      </c>
      <c r="E175" s="1"/>
    </row>
    <row r="176" spans="1:5" x14ac:dyDescent="0.2">
      <c r="A176" t="s">
        <v>177</v>
      </c>
      <c r="B176">
        <v>2016</v>
      </c>
      <c r="C176">
        <v>2016</v>
      </c>
      <c r="D176" s="3">
        <v>128272</v>
      </c>
      <c r="E176" s="1"/>
    </row>
    <row r="177" spans="1:5" x14ac:dyDescent="0.2">
      <c r="A177" t="s">
        <v>178</v>
      </c>
      <c r="B177">
        <v>2014</v>
      </c>
      <c r="C177">
        <v>2012</v>
      </c>
      <c r="D177" s="3">
        <v>51279</v>
      </c>
      <c r="E177" s="1"/>
    </row>
    <row r="178" spans="1:5" x14ac:dyDescent="0.2">
      <c r="A178" t="s">
        <v>179</v>
      </c>
      <c r="B178">
        <v>2004</v>
      </c>
      <c r="C178">
        <v>1991</v>
      </c>
      <c r="D178" s="3">
        <v>6427</v>
      </c>
      <c r="E178" s="1"/>
    </row>
    <row r="179" spans="1:5" x14ac:dyDescent="0.2">
      <c r="A179" t="s">
        <v>180</v>
      </c>
      <c r="B179">
        <v>1998</v>
      </c>
      <c r="C179">
        <v>1991</v>
      </c>
      <c r="D179" s="3">
        <v>1652.6</v>
      </c>
      <c r="E179" s="1"/>
    </row>
    <row r="180" spans="1:5" x14ac:dyDescent="0.2">
      <c r="A180" t="s">
        <v>181</v>
      </c>
      <c r="B180">
        <v>1991</v>
      </c>
      <c r="C180">
        <v>1991</v>
      </c>
      <c r="D180" s="3">
        <v>16699</v>
      </c>
      <c r="E180" s="1"/>
    </row>
    <row r="181" spans="1:5" x14ac:dyDescent="0.2">
      <c r="A181" t="s">
        <v>182</v>
      </c>
      <c r="B181">
        <v>1991</v>
      </c>
      <c r="C181">
        <v>1991</v>
      </c>
      <c r="D181" s="3">
        <v>1224488</v>
      </c>
      <c r="E181" s="1"/>
    </row>
    <row r="182" spans="1:5" x14ac:dyDescent="0.2">
      <c r="A182" t="s">
        <v>183</v>
      </c>
      <c r="B182">
        <v>2009</v>
      </c>
      <c r="C182">
        <v>2009</v>
      </c>
      <c r="D182" s="3">
        <v>275</v>
      </c>
      <c r="E182" s="1"/>
    </row>
    <row r="183" spans="1:5" x14ac:dyDescent="0.2">
      <c r="A183" t="s">
        <v>184</v>
      </c>
      <c r="B183">
        <v>2009</v>
      </c>
      <c r="C183">
        <v>2009</v>
      </c>
      <c r="D183" s="3">
        <v>19747</v>
      </c>
      <c r="E183" s="1"/>
    </row>
    <row r="184" spans="1:5" x14ac:dyDescent="0.2">
      <c r="A184" t="s">
        <v>185</v>
      </c>
      <c r="B184">
        <v>2009</v>
      </c>
      <c r="C184">
        <v>2009</v>
      </c>
      <c r="D184" s="3">
        <v>1422</v>
      </c>
      <c r="E184" s="1"/>
    </row>
    <row r="185" spans="1:5" x14ac:dyDescent="0.2">
      <c r="A185" t="s">
        <v>186</v>
      </c>
      <c r="B185">
        <v>1986</v>
      </c>
      <c r="C185">
        <v>1986</v>
      </c>
      <c r="D185" s="3">
        <v>62488.4516</v>
      </c>
      <c r="E185" s="1"/>
    </row>
    <row r="186" spans="1:5" x14ac:dyDescent="0.2">
      <c r="A186" t="s">
        <v>187</v>
      </c>
      <c r="B186">
        <v>2005</v>
      </c>
      <c r="C186">
        <v>2005</v>
      </c>
      <c r="D186" s="3">
        <v>180</v>
      </c>
      <c r="E186" s="1"/>
    </row>
    <row r="187" spans="1:5" x14ac:dyDescent="0.2">
      <c r="A187" t="s">
        <v>188</v>
      </c>
      <c r="B187">
        <v>1996</v>
      </c>
      <c r="C187">
        <v>1996</v>
      </c>
      <c r="D187" s="3">
        <v>196.90430000000001</v>
      </c>
      <c r="E187" s="1"/>
    </row>
    <row r="188" spans="1:5" x14ac:dyDescent="0.2">
      <c r="A188" t="s">
        <v>189</v>
      </c>
      <c r="B188">
        <v>1991</v>
      </c>
      <c r="C188">
        <v>1991</v>
      </c>
      <c r="D188" s="3">
        <v>139347</v>
      </c>
      <c r="E188" s="1"/>
    </row>
    <row r="189" spans="1:5" x14ac:dyDescent="0.2">
      <c r="A189" t="s">
        <v>190</v>
      </c>
      <c r="B189">
        <v>1991</v>
      </c>
      <c r="C189">
        <v>1991</v>
      </c>
      <c r="D189" s="3">
        <v>213311</v>
      </c>
      <c r="E189" s="1"/>
    </row>
    <row r="190" spans="1:5" x14ac:dyDescent="0.2">
      <c r="A190" t="s">
        <v>191</v>
      </c>
      <c r="B190">
        <v>1997</v>
      </c>
      <c r="C190">
        <v>1997</v>
      </c>
      <c r="D190" s="3">
        <v>53933</v>
      </c>
      <c r="E190" s="1"/>
    </row>
    <row r="191" spans="1:5" x14ac:dyDescent="0.2">
      <c r="A191" t="s">
        <v>192</v>
      </c>
      <c r="B191">
        <v>2011</v>
      </c>
      <c r="C191">
        <v>2011</v>
      </c>
      <c r="D191" s="3">
        <v>18610.323</v>
      </c>
      <c r="E191" s="1"/>
    </row>
    <row r="192" spans="1:5" x14ac:dyDescent="0.2">
      <c r="A192" t="s">
        <v>193</v>
      </c>
      <c r="B192">
        <v>2018</v>
      </c>
      <c r="C192">
        <v>2018</v>
      </c>
      <c r="D192" s="3">
        <v>19663</v>
      </c>
      <c r="E192" s="1"/>
    </row>
    <row r="193" spans="1:5" x14ac:dyDescent="0.2">
      <c r="A193" t="s">
        <v>194</v>
      </c>
      <c r="B193">
        <v>1983</v>
      </c>
      <c r="C193">
        <v>1983</v>
      </c>
      <c r="D193" s="3">
        <v>4291</v>
      </c>
      <c r="E193" s="1"/>
    </row>
    <row r="194" spans="1:5" x14ac:dyDescent="0.2">
      <c r="A194" t="s">
        <v>195</v>
      </c>
      <c r="B194">
        <v>1997</v>
      </c>
      <c r="C194">
        <v>1983</v>
      </c>
      <c r="D194" s="3">
        <v>21229</v>
      </c>
      <c r="E194" s="1"/>
    </row>
    <row r="195" spans="1:5" x14ac:dyDescent="0.2">
      <c r="A195" t="s">
        <v>196</v>
      </c>
      <c r="B195">
        <v>1983</v>
      </c>
      <c r="C195">
        <v>1983</v>
      </c>
      <c r="D195" s="3">
        <v>1295</v>
      </c>
      <c r="E195" s="1"/>
    </row>
    <row r="196" spans="1:5" x14ac:dyDescent="0.2">
      <c r="A196" t="s">
        <v>197</v>
      </c>
      <c r="B196">
        <v>1996</v>
      </c>
      <c r="C196">
        <v>1983</v>
      </c>
      <c r="D196" s="3">
        <v>25530</v>
      </c>
      <c r="E196" s="1"/>
    </row>
    <row r="197" spans="1:5" x14ac:dyDescent="0.2">
      <c r="A197" t="s">
        <v>198</v>
      </c>
      <c r="B197">
        <v>1993</v>
      </c>
      <c r="C197">
        <v>1991</v>
      </c>
      <c r="D197" s="3">
        <v>1815.72</v>
      </c>
      <c r="E197" s="1"/>
    </row>
    <row r="198" spans="1:5" x14ac:dyDescent="0.2">
      <c r="A198" t="s">
        <v>199</v>
      </c>
      <c r="B198">
        <v>1996</v>
      </c>
      <c r="C198">
        <v>1996</v>
      </c>
      <c r="D198" s="3">
        <v>516906</v>
      </c>
      <c r="E198" s="1"/>
    </row>
    <row r="199" spans="1:5" x14ac:dyDescent="0.2">
      <c r="A199" t="s">
        <v>200</v>
      </c>
      <c r="B199">
        <v>1982</v>
      </c>
      <c r="C199">
        <v>1982</v>
      </c>
      <c r="D199" s="3">
        <v>11527</v>
      </c>
      <c r="E199" s="1"/>
    </row>
    <row r="200" spans="1:5" x14ac:dyDescent="0.2">
      <c r="A200" t="s">
        <v>201</v>
      </c>
      <c r="B200">
        <v>1982</v>
      </c>
      <c r="C200">
        <v>1982</v>
      </c>
      <c r="D200" s="3">
        <v>10198</v>
      </c>
      <c r="E200" s="1"/>
    </row>
    <row r="201" spans="1:5" x14ac:dyDescent="0.2">
      <c r="A201" t="s">
        <v>202</v>
      </c>
      <c r="B201">
        <v>1991</v>
      </c>
      <c r="C201">
        <v>1991</v>
      </c>
      <c r="D201" s="3">
        <v>157705</v>
      </c>
      <c r="E201" s="1"/>
    </row>
    <row r="202" spans="1:5" x14ac:dyDescent="0.2">
      <c r="A202" t="s">
        <v>203</v>
      </c>
      <c r="B202">
        <v>1991</v>
      </c>
      <c r="C202">
        <v>1991</v>
      </c>
      <c r="D202" s="3">
        <v>266192</v>
      </c>
      <c r="E202" s="1"/>
    </row>
    <row r="203" spans="1:5" x14ac:dyDescent="0.2">
      <c r="A203" t="s">
        <v>204</v>
      </c>
      <c r="B203">
        <v>1995</v>
      </c>
      <c r="C203">
        <v>1981</v>
      </c>
      <c r="D203" s="3">
        <v>1265553.53</v>
      </c>
      <c r="E203" s="1"/>
    </row>
    <row r="204" spans="1:5" x14ac:dyDescent="0.2">
      <c r="A204" t="s">
        <v>205</v>
      </c>
      <c r="B204">
        <v>1988</v>
      </c>
      <c r="C204">
        <v>1981</v>
      </c>
      <c r="D204" s="3">
        <v>238469.32</v>
      </c>
      <c r="E204" s="1"/>
    </row>
    <row r="205" spans="1:5" x14ac:dyDescent="0.2">
      <c r="A205" t="s">
        <v>206</v>
      </c>
      <c r="B205">
        <v>1983</v>
      </c>
      <c r="C205">
        <v>1983</v>
      </c>
      <c r="D205" s="3">
        <v>185533.57680000001</v>
      </c>
      <c r="E205" s="1"/>
    </row>
    <row r="206" spans="1:5" x14ac:dyDescent="0.2">
      <c r="A206" t="s">
        <v>207</v>
      </c>
      <c r="B206">
        <v>2010</v>
      </c>
      <c r="C206">
        <v>2003</v>
      </c>
      <c r="D206" s="3">
        <v>17736.88</v>
      </c>
      <c r="E206" s="1"/>
    </row>
    <row r="207" spans="1:5" x14ac:dyDescent="0.2">
      <c r="A207" t="s">
        <v>208</v>
      </c>
      <c r="B207">
        <v>1992</v>
      </c>
      <c r="C207">
        <v>1986</v>
      </c>
      <c r="D207" s="3">
        <v>170535</v>
      </c>
      <c r="E207" s="1"/>
    </row>
    <row r="208" spans="1:5" x14ac:dyDescent="0.2">
      <c r="A208" t="s">
        <v>209</v>
      </c>
      <c r="B208">
        <v>1992</v>
      </c>
      <c r="C208">
        <v>1986</v>
      </c>
      <c r="D208" s="3">
        <v>400164</v>
      </c>
      <c r="E208" s="1"/>
    </row>
    <row r="209" spans="1:5" x14ac:dyDescent="0.2">
      <c r="A209" t="s">
        <v>210</v>
      </c>
      <c r="B209">
        <v>1989</v>
      </c>
      <c r="C209">
        <v>1986</v>
      </c>
      <c r="D209" s="3">
        <v>506449</v>
      </c>
      <c r="E209" s="1"/>
    </row>
    <row r="210" spans="1:5" x14ac:dyDescent="0.2">
      <c r="A210" t="s">
        <v>211</v>
      </c>
      <c r="B210">
        <v>1996</v>
      </c>
      <c r="C210">
        <v>1996</v>
      </c>
      <c r="D210" s="3">
        <v>107553.0101</v>
      </c>
      <c r="E210" s="1"/>
    </row>
    <row r="211" spans="1:5" x14ac:dyDescent="0.2">
      <c r="A211" t="s">
        <v>212</v>
      </c>
      <c r="B211">
        <v>2005</v>
      </c>
      <c r="C211">
        <v>1991</v>
      </c>
      <c r="D211" s="3">
        <v>118204.37</v>
      </c>
      <c r="E211" s="1"/>
    </row>
    <row r="212" spans="1:5" x14ac:dyDescent="0.2">
      <c r="A212" t="s">
        <v>213</v>
      </c>
      <c r="B212">
        <v>2012</v>
      </c>
      <c r="C212">
        <v>2006</v>
      </c>
      <c r="D212" s="3">
        <v>27864</v>
      </c>
      <c r="E212" s="1"/>
    </row>
    <row r="213" spans="1:5" x14ac:dyDescent="0.2">
      <c r="A213" t="s">
        <v>214</v>
      </c>
      <c r="B213">
        <v>2017</v>
      </c>
      <c r="C213">
        <v>2017</v>
      </c>
      <c r="D213" s="3">
        <v>3980</v>
      </c>
      <c r="E213" s="1"/>
    </row>
    <row r="214" spans="1:5" x14ac:dyDescent="0.2">
      <c r="A214" t="s">
        <v>215</v>
      </c>
      <c r="B214">
        <v>1991</v>
      </c>
      <c r="C214">
        <v>1991</v>
      </c>
      <c r="D214" s="3">
        <v>114130</v>
      </c>
      <c r="E214" s="1"/>
    </row>
    <row r="215" spans="1:5" x14ac:dyDescent="0.2">
      <c r="A215" t="s">
        <v>216</v>
      </c>
      <c r="B215">
        <v>1991</v>
      </c>
      <c r="C215">
        <v>1991</v>
      </c>
      <c r="D215" s="3">
        <v>3038</v>
      </c>
      <c r="E215" s="1"/>
    </row>
    <row r="216" spans="1:5" x14ac:dyDescent="0.2">
      <c r="A216" t="s">
        <v>217</v>
      </c>
      <c r="B216">
        <v>1991</v>
      </c>
      <c r="C216">
        <v>1991</v>
      </c>
      <c r="D216" s="3">
        <v>82159</v>
      </c>
      <c r="E216" s="1"/>
    </row>
    <row r="217" spans="1:5" x14ac:dyDescent="0.2">
      <c r="A217" t="s">
        <v>218</v>
      </c>
      <c r="B217">
        <v>1991</v>
      </c>
      <c r="C217">
        <v>1991</v>
      </c>
      <c r="D217" s="3">
        <v>60154</v>
      </c>
      <c r="E217" s="1"/>
    </row>
    <row r="218" spans="1:5" x14ac:dyDescent="0.2">
      <c r="A218" t="s">
        <v>219</v>
      </c>
      <c r="B218">
        <v>1991</v>
      </c>
      <c r="C218">
        <v>1991</v>
      </c>
      <c r="D218" s="3">
        <v>339651</v>
      </c>
      <c r="E218" s="1"/>
    </row>
    <row r="219" spans="1:5" x14ac:dyDescent="0.2">
      <c r="A219" t="s">
        <v>220</v>
      </c>
      <c r="B219">
        <v>1991</v>
      </c>
      <c r="C219">
        <v>1991</v>
      </c>
      <c r="D219" s="3">
        <v>15952</v>
      </c>
      <c r="E219" s="1"/>
    </row>
    <row r="220" spans="1:5" x14ac:dyDescent="0.2">
      <c r="A220" t="s">
        <v>221</v>
      </c>
      <c r="B220">
        <v>1991</v>
      </c>
      <c r="C220">
        <v>1991</v>
      </c>
      <c r="D220" s="3">
        <v>41523</v>
      </c>
      <c r="E220" s="1"/>
    </row>
    <row r="221" spans="1:5" x14ac:dyDescent="0.2">
      <c r="A221" t="s">
        <v>222</v>
      </c>
      <c r="B221">
        <v>1991</v>
      </c>
      <c r="C221">
        <v>1991</v>
      </c>
      <c r="D221" s="3">
        <v>10327</v>
      </c>
      <c r="E221" s="1"/>
    </row>
    <row r="222" spans="1:5" x14ac:dyDescent="0.2">
      <c r="A222" t="s">
        <v>223</v>
      </c>
      <c r="B222">
        <v>1991</v>
      </c>
      <c r="C222">
        <v>1991</v>
      </c>
      <c r="D222" s="3">
        <v>171029</v>
      </c>
      <c r="E222" s="1"/>
    </row>
    <row r="223" spans="1:5" x14ac:dyDescent="0.2">
      <c r="A223" t="s">
        <v>224</v>
      </c>
      <c r="B223">
        <v>1997</v>
      </c>
      <c r="C223">
        <v>1982</v>
      </c>
      <c r="D223" s="3">
        <v>170568.56</v>
      </c>
      <c r="E223" s="1"/>
    </row>
    <row r="224" spans="1:5" x14ac:dyDescent="0.2">
      <c r="A224" t="s">
        <v>225</v>
      </c>
      <c r="B224">
        <v>2001</v>
      </c>
      <c r="C224">
        <v>1996</v>
      </c>
      <c r="D224" s="3">
        <v>43844.56</v>
      </c>
      <c r="E224" s="1"/>
    </row>
    <row r="225" spans="1:5" x14ac:dyDescent="0.2">
      <c r="A225" t="s">
        <v>226</v>
      </c>
      <c r="B225">
        <v>1989</v>
      </c>
      <c r="C225">
        <v>1982</v>
      </c>
      <c r="D225" s="3">
        <v>155711.76</v>
      </c>
      <c r="E225" s="1"/>
    </row>
    <row r="226" spans="1:5" x14ac:dyDescent="0.2">
      <c r="A226" t="s">
        <v>227</v>
      </c>
      <c r="B226">
        <v>2021</v>
      </c>
      <c r="C226">
        <v>2021</v>
      </c>
      <c r="D226" s="3">
        <v>40095</v>
      </c>
      <c r="E226" s="1"/>
    </row>
    <row r="227" spans="1:5" x14ac:dyDescent="0.2">
      <c r="A227" t="s">
        <v>228</v>
      </c>
      <c r="B227">
        <v>2005</v>
      </c>
      <c r="C227">
        <v>2005</v>
      </c>
      <c r="D227" s="3">
        <v>678565</v>
      </c>
      <c r="E227" s="1"/>
    </row>
    <row r="228" spans="1:5" x14ac:dyDescent="0.2">
      <c r="A228" t="s">
        <v>229</v>
      </c>
      <c r="B228">
        <v>1998</v>
      </c>
      <c r="C228">
        <v>1991</v>
      </c>
      <c r="D228" s="3">
        <v>793819</v>
      </c>
      <c r="E228" s="1"/>
    </row>
    <row r="229" spans="1:5" x14ac:dyDescent="0.2">
      <c r="A229" t="s">
        <v>230</v>
      </c>
      <c r="B229">
        <v>2005</v>
      </c>
      <c r="C229">
        <v>2005</v>
      </c>
      <c r="D229" s="3">
        <v>810883</v>
      </c>
      <c r="E229" s="1"/>
    </row>
    <row r="230" spans="1:5" x14ac:dyDescent="0.2">
      <c r="A230" t="s">
        <v>231</v>
      </c>
      <c r="B230">
        <v>1997</v>
      </c>
      <c r="C230">
        <v>1997</v>
      </c>
      <c r="D230" s="3">
        <v>14586</v>
      </c>
      <c r="E230" s="1"/>
    </row>
    <row r="231" spans="1:5" x14ac:dyDescent="0.2">
      <c r="A231" t="s">
        <v>232</v>
      </c>
      <c r="B231">
        <v>1997</v>
      </c>
      <c r="C231">
        <v>1997</v>
      </c>
      <c r="D231" s="3">
        <v>52167</v>
      </c>
      <c r="E231" s="1"/>
    </row>
    <row r="232" spans="1:5" x14ac:dyDescent="0.2">
      <c r="A232" t="s">
        <v>233</v>
      </c>
      <c r="B232">
        <v>1997</v>
      </c>
      <c r="C232">
        <v>1997</v>
      </c>
      <c r="D232" s="3">
        <v>13043</v>
      </c>
      <c r="E232" s="1"/>
    </row>
    <row r="233" spans="1:5" x14ac:dyDescent="0.2">
      <c r="A233" t="s">
        <v>234</v>
      </c>
      <c r="B233">
        <v>1997</v>
      </c>
      <c r="C233">
        <v>1997</v>
      </c>
      <c r="D233" s="3">
        <v>63364</v>
      </c>
      <c r="E233" s="1"/>
    </row>
    <row r="234" spans="1:5" x14ac:dyDescent="0.2">
      <c r="A234" t="s">
        <v>235</v>
      </c>
      <c r="B234">
        <v>2003</v>
      </c>
      <c r="C234">
        <v>1998</v>
      </c>
      <c r="D234" s="3">
        <v>729971.77</v>
      </c>
      <c r="E234" s="1"/>
    </row>
    <row r="235" spans="1:5" x14ac:dyDescent="0.2">
      <c r="A235" t="s">
        <v>236</v>
      </c>
      <c r="B235">
        <v>2005</v>
      </c>
      <c r="C235">
        <v>1998</v>
      </c>
      <c r="D235" s="3">
        <v>356458</v>
      </c>
      <c r="E235" s="1"/>
    </row>
    <row r="236" spans="1:5" x14ac:dyDescent="0.2">
      <c r="A236" t="s">
        <v>237</v>
      </c>
      <c r="B236">
        <v>2009</v>
      </c>
      <c r="C236">
        <v>1998</v>
      </c>
      <c r="D236" s="3">
        <v>870238</v>
      </c>
      <c r="E236" s="1"/>
    </row>
    <row r="237" spans="1:5" x14ac:dyDescent="0.2">
      <c r="A237" t="s">
        <v>238</v>
      </c>
      <c r="B237">
        <v>1997</v>
      </c>
      <c r="C237">
        <v>1997</v>
      </c>
      <c r="D237" s="3">
        <v>3326.3501999999999</v>
      </c>
      <c r="E237" s="1"/>
    </row>
    <row r="238" spans="1:5" x14ac:dyDescent="0.2">
      <c r="E238" s="1"/>
    </row>
  </sheetData>
  <phoneticPr fontId="2" type="noConversion"/>
  <conditionalFormatting sqref="A1:A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ru74hin</cp:lastModifiedBy>
  <dcterms:created xsi:type="dcterms:W3CDTF">2021-08-03T09:44:12Z</dcterms:created>
  <dcterms:modified xsi:type="dcterms:W3CDTF">2021-08-05T09:31:36Z</dcterms:modified>
</cp:coreProperties>
</file>